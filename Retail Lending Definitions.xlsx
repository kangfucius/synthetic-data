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sasoffice365-my.sharepoint.com/personal/alan_kang_sas_com/Documents/Documents/Reference Material/Synthetic Data/"/>
    </mc:Choice>
  </mc:AlternateContent>
  <xr:revisionPtr revIDLastSave="21" documentId="8_{972F3F5E-B6EB-4D78-93D8-238A5A54ADE4}" xr6:coauthVersionLast="47" xr6:coauthVersionMax="47" xr10:uidLastSave="{926FD673-E28C-46E2-9013-4C73FD14B06E}"/>
  <bookViews>
    <workbookView xWindow="23772" yWindow="420" windowWidth="25740" windowHeight="14844" tabRatio="766" firstSheet="3" activeTab="11" xr2:uid="{00000000-000D-0000-FFFF-FFFF00000000}"/>
  </bookViews>
  <sheets>
    <sheet name="Introduction" sheetId="20" r:id="rId1"/>
    <sheet name="Product Strategy" sheetId="2" r:id="rId2"/>
    <sheet name="Call Flows" sheetId="4" r:id="rId3"/>
    <sheet name="Tables" sheetId="6" r:id="rId4"/>
    <sheet name="Scorecards" sheetId="8" r:id="rId5"/>
    <sheet name="Scores" sheetId="22" r:id="rId6"/>
    <sheet name="Rules" sheetId="7" r:id="rId7"/>
    <sheet name="Sheet1" sheetId="21" state="hidden" r:id="rId8"/>
    <sheet name="Data Dictionary_All" sheetId="19" r:id="rId9"/>
    <sheet name="Data Dictionary Used" sheetId="23" r:id="rId10"/>
    <sheet name="Parameters" sheetId="18" r:id="rId11"/>
    <sheet name="synthetic.py" sheetId="24" r:id="rId12"/>
  </sheets>
  <definedNames>
    <definedName name="_xlnm._FilterDatabase" localSheetId="9" hidden="1">'Data Dictionary Used'!$A$2:$Q$97</definedName>
    <definedName name="_xlnm._FilterDatabase" localSheetId="8" hidden="1">'Data Dictionary_All'!$A$2:$Q$863</definedName>
    <definedName name="_xlnm._FilterDatabase" localSheetId="11" hidden="1">synthetic.py!$A$1:$D$65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 i="24" l="1"/>
  <c r="C3" i="24"/>
  <c r="C4" i="24"/>
  <c r="C5" i="24"/>
  <c r="C6" i="24"/>
  <c r="C7" i="24"/>
  <c r="C8" i="24"/>
  <c r="C9" i="24"/>
  <c r="C10" i="24"/>
  <c r="C11" i="24"/>
  <c r="C12" i="24"/>
  <c r="C13" i="24"/>
  <c r="C14" i="24"/>
  <c r="C15" i="24"/>
  <c r="C16" i="24"/>
  <c r="C17" i="24"/>
  <c r="C18" i="24"/>
  <c r="C19" i="24"/>
  <c r="C20" i="24"/>
  <c r="C21" i="24"/>
  <c r="C22" i="24"/>
  <c r="C23" i="24"/>
  <c r="C24" i="24"/>
  <c r="C25" i="24"/>
  <c r="C26" i="24"/>
  <c r="C27" i="24"/>
  <c r="C28" i="24"/>
  <c r="C29" i="24"/>
  <c r="C30" i="24"/>
  <c r="C31" i="24"/>
  <c r="C32" i="24"/>
  <c r="C33" i="24"/>
  <c r="C34" i="24"/>
  <c r="C35" i="24"/>
  <c r="C36" i="24"/>
  <c r="C37" i="24"/>
  <c r="C38" i="24"/>
  <c r="C39" i="24"/>
  <c r="C40" i="24"/>
  <c r="C41" i="24"/>
  <c r="C42" i="24"/>
  <c r="C43" i="24"/>
  <c r="C44" i="24"/>
  <c r="C45" i="24"/>
  <c r="C46" i="24"/>
  <c r="C47" i="24"/>
  <c r="C48" i="24"/>
  <c r="C49" i="24"/>
  <c r="C50" i="24"/>
  <c r="C51" i="24"/>
  <c r="C52" i="24"/>
  <c r="C53" i="24"/>
  <c r="C54" i="24"/>
  <c r="C55" i="24"/>
  <c r="C56" i="24"/>
  <c r="C57" i="24"/>
  <c r="C59" i="24"/>
  <c r="C60" i="24"/>
  <c r="C61" i="24"/>
  <c r="C62" i="24"/>
  <c r="C63" i="24"/>
  <c r="C64" i="24"/>
  <c r="C65" i="24"/>
  <c r="C2" i="24"/>
  <c r="A864" i="19"/>
  <c r="A865" i="19" s="1"/>
  <c r="A866" i="19" s="1"/>
  <c r="A867" i="19" s="1"/>
  <c r="A868" i="19" s="1"/>
  <c r="A869" i="19" s="1"/>
  <c r="A870" i="19" s="1"/>
  <c r="A871" i="19" s="1"/>
  <c r="A872" i="19" s="1"/>
  <c r="A873" i="19" s="1"/>
  <c r="A874" i="19" s="1"/>
  <c r="A875" i="19" s="1"/>
  <c r="A876" i="19" s="1"/>
  <c r="A877" i="19" s="1"/>
  <c r="A878" i="19" s="1"/>
  <c r="A879" i="19" s="1"/>
  <c r="A880" i="19" s="1"/>
  <c r="A97" i="23" l="1"/>
  <c r="A98" i="23" s="1"/>
  <c r="A99" i="23" s="1"/>
  <c r="A100" i="23" s="1"/>
  <c r="A101" i="23" s="1"/>
  <c r="A102" i="23" s="1"/>
  <c r="A4" i="23"/>
  <c r="A5" i="23" s="1"/>
  <c r="A6" i="23" s="1"/>
  <c r="A7" i="23" s="1"/>
  <c r="A8" i="23" s="1"/>
  <c r="A9" i="23" s="1"/>
  <c r="A10" i="23" s="1"/>
  <c r="A11" i="23" s="1"/>
  <c r="A12" i="23" s="1"/>
  <c r="A13" i="23" s="1"/>
  <c r="A14" i="23" s="1"/>
  <c r="A15" i="23" s="1"/>
  <c r="A16" i="23" s="1"/>
  <c r="A17" i="23" s="1"/>
  <c r="A18" i="23" s="1"/>
  <c r="A19" i="23" s="1"/>
  <c r="A20" i="23" s="1"/>
  <c r="A21" i="23" s="1"/>
  <c r="A22" i="23" s="1"/>
  <c r="A23" i="23" s="1"/>
  <c r="A24" i="23" s="1"/>
  <c r="A25" i="23" s="1"/>
  <c r="A26" i="23" s="1"/>
  <c r="A27" i="23" s="1"/>
  <c r="A28" i="23" s="1"/>
  <c r="A29" i="23" s="1"/>
  <c r="A30" i="23" s="1"/>
  <c r="A31" i="23" s="1"/>
  <c r="A32" i="23" s="1"/>
  <c r="A33" i="23" s="1"/>
  <c r="A34" i="23" s="1"/>
  <c r="A35" i="23" s="1"/>
  <c r="A36" i="23" s="1"/>
  <c r="A37" i="23" s="1"/>
  <c r="A38" i="23" s="1"/>
  <c r="A39" i="23" s="1"/>
  <c r="A40" i="23" s="1"/>
  <c r="A41" i="23" s="1"/>
  <c r="A42" i="23" s="1"/>
  <c r="A43" i="23" s="1"/>
  <c r="A44" i="23" s="1"/>
  <c r="A45" i="23" s="1"/>
  <c r="A46" i="23" s="1"/>
  <c r="A47" i="23" s="1"/>
  <c r="A48" i="23" s="1"/>
  <c r="A49" i="23" s="1"/>
  <c r="A50" i="23" s="1"/>
  <c r="A51" i="23" s="1"/>
  <c r="A52" i="23" s="1"/>
  <c r="A53" i="23" s="1"/>
  <c r="A54" i="23" s="1"/>
  <c r="A55" i="23" s="1"/>
  <c r="A56" i="23" s="1"/>
  <c r="A57" i="23" s="1"/>
  <c r="A58" i="23" s="1"/>
  <c r="A59" i="23" s="1"/>
  <c r="A60" i="23" s="1"/>
  <c r="A61" i="23" s="1"/>
  <c r="A62" i="23" s="1"/>
  <c r="A63" i="23" s="1"/>
  <c r="A64" i="23" s="1"/>
  <c r="A65" i="23" s="1"/>
  <c r="A66" i="23" s="1"/>
  <c r="A67" i="23" s="1"/>
  <c r="A68" i="23" s="1"/>
  <c r="A69" i="23" s="1"/>
  <c r="A70" i="23" s="1"/>
  <c r="A71" i="23" s="1"/>
  <c r="A72" i="23" s="1"/>
  <c r="A73" i="23" s="1"/>
  <c r="A74" i="23" s="1"/>
  <c r="A75" i="23" s="1"/>
  <c r="A76" i="23" s="1"/>
  <c r="A77" i="23" s="1"/>
  <c r="A78" i="23" s="1"/>
  <c r="A79" i="23" s="1"/>
  <c r="A80" i="23" s="1"/>
  <c r="A81" i="23" s="1"/>
  <c r="A82" i="23" s="1"/>
  <c r="A83" i="23" s="1"/>
  <c r="A84" i="23" s="1"/>
  <c r="A85" i="23" s="1"/>
  <c r="A86" i="23" s="1"/>
  <c r="A87" i="23" s="1"/>
  <c r="A88" i="23" s="1"/>
  <c r="A89" i="23" s="1"/>
  <c r="A90" i="23" s="1"/>
  <c r="A91" i="23" s="1"/>
  <c r="A92" i="23" s="1"/>
  <c r="A93" i="23" s="1"/>
  <c r="A94" i="23" s="1"/>
  <c r="A95" i="23" s="1"/>
  <c r="A96" i="23" s="1"/>
  <c r="F147" i="6"/>
  <c r="F148" i="6"/>
  <c r="F149" i="6"/>
  <c r="F150" i="6"/>
  <c r="F151" i="6"/>
  <c r="F152" i="6"/>
  <c r="F153" i="6"/>
  <c r="F154" i="6"/>
  <c r="F155" i="6"/>
  <c r="F156" i="6"/>
  <c r="F157" i="6"/>
  <c r="F158" i="6"/>
  <c r="F159" i="6"/>
  <c r="F160" i="6"/>
  <c r="F161" i="6"/>
  <c r="F162" i="6"/>
  <c r="F163" i="6"/>
  <c r="F164" i="6"/>
  <c r="F165" i="6"/>
  <c r="F146" i="6"/>
  <c r="A45" i="4" l="1"/>
  <c r="A46" i="4" s="1"/>
  <c r="A47" i="4" s="1"/>
  <c r="A48" i="4" s="1"/>
  <c r="A49" i="4" s="1"/>
  <c r="A50" i="4" s="1"/>
  <c r="A4" i="19"/>
  <c r="A5" i="19" s="1"/>
  <c r="A6" i="19" s="1"/>
  <c r="A7" i="19" s="1"/>
  <c r="A8" i="19" s="1"/>
  <c r="A9" i="19" s="1"/>
  <c r="A10" i="19" s="1"/>
  <c r="A11" i="19" s="1"/>
  <c r="A12" i="19" s="1"/>
  <c r="A13" i="19" s="1"/>
  <c r="A14" i="19" s="1"/>
  <c r="A15" i="19" s="1"/>
  <c r="A16" i="19" s="1"/>
  <c r="A17" i="19" s="1"/>
  <c r="A18" i="19" s="1"/>
  <c r="A19" i="19" s="1"/>
  <c r="A20" i="19" s="1"/>
  <c r="A21" i="19" s="1"/>
  <c r="A22" i="19" s="1"/>
  <c r="A23" i="19" s="1"/>
  <c r="A24" i="19" s="1"/>
  <c r="A25" i="19" s="1"/>
  <c r="A26" i="19" s="1"/>
  <c r="F80" i="8"/>
  <c r="E80" i="8"/>
  <c r="F5" i="8"/>
  <c r="E5" i="8"/>
  <c r="A57" i="4"/>
  <c r="A58" i="4" s="1"/>
  <c r="A59" i="4" s="1"/>
  <c r="A60" i="4" s="1"/>
  <c r="A61" i="4" s="1"/>
  <c r="A62" i="4" s="1"/>
  <c r="A63" i="4" s="1"/>
  <c r="A64" i="4" s="1"/>
  <c r="A65" i="4" s="1"/>
  <c r="A66" i="4" s="1"/>
  <c r="A67" i="4" s="1"/>
  <c r="A68" i="4" s="1"/>
  <c r="A69" i="4" s="1"/>
  <c r="A30" i="4"/>
  <c r="A31" i="4" s="1"/>
  <c r="A32" i="4" s="1"/>
  <c r="A33" i="4" s="1"/>
  <c r="A34" i="4" s="1"/>
  <c r="A35" i="4" s="1"/>
  <c r="A36" i="4" s="1"/>
  <c r="A37" i="4" s="1"/>
  <c r="A38" i="4" s="1"/>
  <c r="A39" i="4" s="1"/>
  <c r="A40" i="4" s="1"/>
  <c r="A41" i="4" s="1"/>
  <c r="A42" i="4" s="1"/>
  <c r="A43" i="4" s="1"/>
  <c r="A44" i="4" s="1"/>
  <c r="A6" i="4"/>
  <c r="A7" i="4" s="1"/>
  <c r="A8" i="4" s="1"/>
  <c r="A9" i="4" s="1"/>
  <c r="A10" i="4" s="1"/>
  <c r="A11" i="4" s="1"/>
  <c r="A12" i="4" s="1"/>
  <c r="A13" i="4" s="1"/>
  <c r="A14" i="4" s="1"/>
  <c r="A15" i="4" s="1"/>
  <c r="A16" i="4" s="1"/>
  <c r="A17" i="4" s="1"/>
  <c r="A18" i="4" s="1"/>
  <c r="A70" i="4" l="1"/>
  <c r="A71" i="4" s="1"/>
  <c r="A72" i="4" s="1"/>
  <c r="A73" i="4" s="1"/>
  <c r="A74" i="4" s="1"/>
  <c r="A75" i="4" s="1"/>
  <c r="A76" i="4" s="1"/>
  <c r="A77" i="4" s="1"/>
  <c r="A19" i="4"/>
  <c r="A20" i="4" s="1"/>
  <c r="A21" i="4" s="1"/>
  <c r="A22" i="4" s="1"/>
  <c r="A23" i="4" s="1"/>
  <c r="A27" i="19"/>
  <c r="A28" i="19" s="1"/>
  <c r="A29" i="19" s="1"/>
  <c r="A31" i="19" l="1"/>
  <c r="A32" i="19" s="1"/>
  <c r="A33" i="19" s="1"/>
  <c r="A34" i="19" s="1"/>
  <c r="A35" i="19" s="1"/>
  <c r="A36" i="19" s="1"/>
  <c r="A37" i="19" s="1"/>
  <c r="A38" i="19" s="1"/>
  <c r="A39" i="19" s="1"/>
  <c r="A40" i="19" s="1"/>
  <c r="A41" i="19" s="1"/>
  <c r="A42" i="19" s="1"/>
  <c r="A43" i="19" s="1"/>
  <c r="A44" i="19" s="1"/>
  <c r="A45" i="19" s="1"/>
  <c r="A46" i="19" s="1"/>
  <c r="A47" i="19" s="1"/>
  <c r="A48" i="19" s="1"/>
  <c r="A49" i="19" s="1"/>
  <c r="A50" i="19" s="1"/>
  <c r="A51" i="19" s="1"/>
  <c r="A52" i="19" s="1"/>
  <c r="A53" i="19" s="1"/>
  <c r="A54" i="19" s="1"/>
  <c r="A55" i="19" s="1"/>
  <c r="A56" i="19" s="1"/>
  <c r="A57" i="19" s="1"/>
  <c r="A58" i="19" s="1"/>
  <c r="A59" i="19" s="1"/>
  <c r="A60" i="19" s="1"/>
  <c r="A61" i="19" s="1"/>
  <c r="A62" i="19" s="1"/>
  <c r="A63" i="19" s="1"/>
  <c r="A64" i="19" s="1"/>
  <c r="A65" i="19" s="1"/>
  <c r="A66" i="19" s="1"/>
  <c r="A67" i="19" s="1"/>
  <c r="A68" i="19" s="1"/>
  <c r="A69" i="19" s="1"/>
  <c r="A70" i="19" s="1"/>
  <c r="A71" i="19" s="1"/>
  <c r="A72" i="19" s="1"/>
  <c r="A73" i="19" s="1"/>
  <c r="A74" i="19" s="1"/>
  <c r="A75" i="19" s="1"/>
  <c r="A76" i="19" s="1"/>
  <c r="A77" i="19" s="1"/>
  <c r="A78" i="19" s="1"/>
  <c r="A79" i="19" s="1"/>
  <c r="A80" i="19" s="1"/>
  <c r="A81" i="19" s="1"/>
  <c r="A82" i="19" s="1"/>
  <c r="A83" i="19" s="1"/>
  <c r="A84" i="19" s="1"/>
  <c r="A85" i="19" s="1"/>
  <c r="A86" i="19" s="1"/>
  <c r="A87" i="19" s="1"/>
  <c r="A88" i="19" s="1"/>
  <c r="A89" i="19" s="1"/>
  <c r="A90" i="19" s="1"/>
  <c r="A91" i="19" s="1"/>
  <c r="A92" i="19" s="1"/>
  <c r="A93" i="19" s="1"/>
  <c r="A94" i="19" s="1"/>
  <c r="A95" i="19" s="1"/>
  <c r="A96" i="19" s="1"/>
  <c r="A97" i="19" s="1"/>
  <c r="A98" i="19" s="1"/>
  <c r="A99" i="19" s="1"/>
  <c r="A100" i="19" s="1"/>
  <c r="A101" i="19" s="1"/>
  <c r="A102" i="19" s="1"/>
  <c r="A103" i="19" s="1"/>
  <c r="A104" i="19" s="1"/>
  <c r="A105" i="19" s="1"/>
  <c r="A106" i="19" s="1"/>
  <c r="A107" i="19" s="1"/>
  <c r="A108" i="19" s="1"/>
  <c r="A109" i="19" s="1"/>
  <c r="A110" i="19" s="1"/>
  <c r="A111" i="19" s="1"/>
  <c r="A112" i="19" s="1"/>
  <c r="A113" i="19" s="1"/>
  <c r="A114" i="19" s="1"/>
  <c r="A115" i="19" s="1"/>
  <c r="A116" i="19" s="1"/>
  <c r="A117" i="19" s="1"/>
  <c r="A118" i="19" s="1"/>
  <c r="A119" i="19" s="1"/>
  <c r="A120" i="19" s="1"/>
  <c r="A121" i="19" s="1"/>
  <c r="A122" i="19" s="1"/>
  <c r="A123" i="19" s="1"/>
  <c r="A124" i="19" s="1"/>
  <c r="A125" i="19" s="1"/>
  <c r="A126" i="19" s="1"/>
  <c r="A127" i="19" s="1"/>
  <c r="A128" i="19" s="1"/>
  <c r="A129" i="19" s="1"/>
  <c r="A130" i="19" s="1"/>
  <c r="A131" i="19" s="1"/>
  <c r="A132" i="19" s="1"/>
  <c r="A133" i="19" s="1"/>
  <c r="A134" i="19" s="1"/>
  <c r="A135" i="19" s="1"/>
  <c r="A136" i="19" s="1"/>
  <c r="A137" i="19" s="1"/>
  <c r="A138" i="19" s="1"/>
  <c r="A139" i="19" s="1"/>
  <c r="A140" i="19" s="1"/>
  <c r="A141" i="19" s="1"/>
  <c r="A142" i="19" s="1"/>
  <c r="A143" i="19" s="1"/>
  <c r="A144" i="19" s="1"/>
  <c r="A145" i="19" s="1"/>
  <c r="A146" i="19" s="1"/>
  <c r="A147" i="19" s="1"/>
  <c r="A148" i="19" s="1"/>
  <c r="A149" i="19" s="1"/>
  <c r="A150" i="19" s="1"/>
  <c r="A151" i="19" s="1"/>
  <c r="A152" i="19" s="1"/>
  <c r="A153" i="19" s="1"/>
  <c r="A154" i="19" s="1"/>
  <c r="A155" i="19" s="1"/>
  <c r="A156" i="19" s="1"/>
  <c r="A157" i="19" s="1"/>
  <c r="A158" i="19" s="1"/>
  <c r="A159" i="19" s="1"/>
  <c r="A160" i="19" s="1"/>
  <c r="A161" i="19" s="1"/>
  <c r="A162" i="19" s="1"/>
  <c r="A163" i="19" s="1"/>
  <c r="A164" i="19" s="1"/>
  <c r="A165" i="19" s="1"/>
  <c r="A166" i="19" s="1"/>
  <c r="A167" i="19" s="1"/>
  <c r="A168" i="19" s="1"/>
  <c r="A169" i="19" s="1"/>
  <c r="A170" i="19" s="1"/>
  <c r="A171" i="19" s="1"/>
  <c r="A172" i="19" s="1"/>
  <c r="A173" i="19" s="1"/>
  <c r="A174" i="19" s="1"/>
  <c r="A175" i="19" s="1"/>
  <c r="A176" i="19" s="1"/>
  <c r="A177" i="19" s="1"/>
  <c r="A178" i="19" s="1"/>
  <c r="A179" i="19" s="1"/>
  <c r="A180" i="19" s="1"/>
  <c r="A181" i="19" s="1"/>
  <c r="A182" i="19" s="1"/>
  <c r="A183" i="19" s="1"/>
  <c r="A184" i="19" s="1"/>
  <c r="A185" i="19" s="1"/>
  <c r="A186" i="19" s="1"/>
  <c r="A187" i="19" s="1"/>
  <c r="A188" i="19" s="1"/>
  <c r="A189" i="19" s="1"/>
  <c r="A190" i="19" s="1"/>
  <c r="A191" i="19" s="1"/>
  <c r="A192" i="19" s="1"/>
  <c r="A193" i="19" s="1"/>
  <c r="A194" i="19" s="1"/>
  <c r="A195" i="19" s="1"/>
  <c r="A196" i="19" s="1"/>
  <c r="A197" i="19" s="1"/>
  <c r="A198" i="19" s="1"/>
  <c r="A199" i="19" s="1"/>
  <c r="A200" i="19" s="1"/>
  <c r="A201" i="19" s="1"/>
  <c r="A202" i="19" s="1"/>
  <c r="A203" i="19" s="1"/>
  <c r="A204" i="19" s="1"/>
  <c r="A205" i="19" s="1"/>
  <c r="A206" i="19" s="1"/>
  <c r="A207" i="19" s="1"/>
  <c r="A208" i="19" s="1"/>
  <c r="A209" i="19" s="1"/>
  <c r="A210" i="19" s="1"/>
  <c r="A211" i="19" s="1"/>
  <c r="A212" i="19" s="1"/>
  <c r="A213" i="19" s="1"/>
  <c r="A214" i="19" s="1"/>
  <c r="A215" i="19" s="1"/>
  <c r="A216" i="19" s="1"/>
  <c r="A217" i="19" s="1"/>
  <c r="A218" i="19" s="1"/>
  <c r="A219" i="19" s="1"/>
  <c r="A220" i="19" s="1"/>
  <c r="A221" i="19" s="1"/>
  <c r="A222" i="19" s="1"/>
  <c r="A223" i="19" s="1"/>
  <c r="A224" i="19" s="1"/>
  <c r="A225" i="19" s="1"/>
  <c r="A226" i="19" s="1"/>
  <c r="A227" i="19" s="1"/>
  <c r="A228" i="19" s="1"/>
  <c r="A229" i="19" s="1"/>
  <c r="A230" i="19" s="1"/>
  <c r="A231" i="19" s="1"/>
  <c r="A232" i="19" s="1"/>
  <c r="A233" i="19" s="1"/>
  <c r="A234" i="19" s="1"/>
  <c r="A235" i="19" s="1"/>
  <c r="A236" i="19" s="1"/>
  <c r="A237" i="19" s="1"/>
  <c r="A238" i="19" s="1"/>
  <c r="A239" i="19" s="1"/>
  <c r="A240" i="19" s="1"/>
  <c r="A241" i="19" s="1"/>
  <c r="A242" i="19" s="1"/>
  <c r="A243" i="19" s="1"/>
  <c r="A244" i="19" s="1"/>
  <c r="A245" i="19" s="1"/>
  <c r="A246" i="19" s="1"/>
  <c r="A247" i="19" s="1"/>
  <c r="A248" i="19" s="1"/>
  <c r="A249" i="19" s="1"/>
  <c r="A250" i="19" s="1"/>
  <c r="A251" i="19" s="1"/>
  <c r="A252" i="19" s="1"/>
  <c r="A253" i="19" s="1"/>
  <c r="A254" i="19" s="1"/>
  <c r="A255" i="19" s="1"/>
  <c r="A256" i="19" s="1"/>
  <c r="A257" i="19" s="1"/>
  <c r="A258" i="19" s="1"/>
  <c r="A259" i="19" s="1"/>
  <c r="A260" i="19" s="1"/>
  <c r="A261" i="19" s="1"/>
  <c r="A262" i="19" s="1"/>
  <c r="A263" i="19" s="1"/>
  <c r="A264" i="19" s="1"/>
  <c r="A265" i="19" s="1"/>
  <c r="A266" i="19" s="1"/>
  <c r="A267" i="19" s="1"/>
  <c r="A268" i="19" s="1"/>
  <c r="A269" i="19" s="1"/>
  <c r="A270" i="19" s="1"/>
  <c r="A271" i="19" s="1"/>
  <c r="A272" i="19" s="1"/>
  <c r="A273" i="19" s="1"/>
  <c r="A274" i="19" s="1"/>
  <c r="A275" i="19" s="1"/>
  <c r="A276" i="19" s="1"/>
  <c r="A277" i="19" s="1"/>
  <c r="A278" i="19" s="1"/>
  <c r="A279" i="19" s="1"/>
  <c r="A280" i="19" s="1"/>
  <c r="A281" i="19" s="1"/>
  <c r="A282" i="19" s="1"/>
  <c r="A283" i="19" s="1"/>
  <c r="A284" i="19" s="1"/>
  <c r="A285" i="19" s="1"/>
  <c r="A286" i="19" s="1"/>
  <c r="A287" i="19" s="1"/>
  <c r="A288" i="19" s="1"/>
  <c r="A289" i="19" s="1"/>
  <c r="A290" i="19" s="1"/>
  <c r="A291" i="19" s="1"/>
  <c r="A292" i="19" s="1"/>
  <c r="A293" i="19" s="1"/>
  <c r="A294" i="19" s="1"/>
  <c r="A295" i="19" s="1"/>
  <c r="A296" i="19" s="1"/>
  <c r="A297" i="19" s="1"/>
  <c r="A298" i="19" s="1"/>
  <c r="A299" i="19" s="1"/>
  <c r="A300" i="19" s="1"/>
  <c r="A301" i="19" s="1"/>
  <c r="A302" i="19" s="1"/>
  <c r="A303" i="19" s="1"/>
  <c r="A304" i="19" s="1"/>
  <c r="A305" i="19" s="1"/>
  <c r="A306" i="19" s="1"/>
  <c r="A307" i="19" s="1"/>
  <c r="A308" i="19" s="1"/>
  <c r="A309" i="19" s="1"/>
  <c r="A310" i="19" s="1"/>
  <c r="A311" i="19" s="1"/>
  <c r="A312" i="19" s="1"/>
  <c r="A313" i="19" s="1"/>
  <c r="A314" i="19" s="1"/>
  <c r="A315" i="19" s="1"/>
  <c r="A316" i="19" s="1"/>
  <c r="A317" i="19" s="1"/>
  <c r="A318" i="19" s="1"/>
  <c r="A319" i="19" s="1"/>
  <c r="A320" i="19" s="1"/>
  <c r="A321" i="19" s="1"/>
  <c r="A322" i="19" s="1"/>
  <c r="A323" i="19" s="1"/>
  <c r="A324" i="19" s="1"/>
  <c r="A325" i="19" s="1"/>
  <c r="A326" i="19" s="1"/>
  <c r="A327" i="19" s="1"/>
  <c r="A328" i="19" s="1"/>
  <c r="A329" i="19" s="1"/>
  <c r="A330" i="19" s="1"/>
  <c r="A331" i="19" s="1"/>
  <c r="A332" i="19" s="1"/>
  <c r="A333" i="19" s="1"/>
  <c r="A334" i="19" s="1"/>
  <c r="A335" i="19" s="1"/>
  <c r="A336" i="19" s="1"/>
  <c r="A337" i="19" s="1"/>
  <c r="A338" i="19" s="1"/>
  <c r="A339" i="19" s="1"/>
  <c r="A340" i="19" s="1"/>
  <c r="A341" i="19" s="1"/>
  <c r="A342" i="19" s="1"/>
  <c r="A343" i="19" s="1"/>
  <c r="A344" i="19" s="1"/>
  <c r="A345" i="19" s="1"/>
  <c r="A346" i="19" s="1"/>
  <c r="A347" i="19" s="1"/>
  <c r="A348" i="19" s="1"/>
  <c r="A349" i="19" s="1"/>
  <c r="A350" i="19" s="1"/>
  <c r="A351" i="19" s="1"/>
  <c r="A352" i="19" s="1"/>
  <c r="A353" i="19" s="1"/>
  <c r="A354" i="19" s="1"/>
  <c r="A355" i="19" s="1"/>
  <c r="A356" i="19" s="1"/>
  <c r="A357" i="19" s="1"/>
  <c r="A358" i="19" s="1"/>
  <c r="A359" i="19" s="1"/>
  <c r="A360" i="19" s="1"/>
  <c r="A361" i="19" s="1"/>
  <c r="A362" i="19" s="1"/>
  <c r="A363" i="19" s="1"/>
  <c r="A364" i="19" s="1"/>
  <c r="A365" i="19" s="1"/>
  <c r="A366" i="19" s="1"/>
  <c r="A367" i="19" s="1"/>
  <c r="A368" i="19" s="1"/>
  <c r="A369" i="19" s="1"/>
  <c r="A370" i="19" s="1"/>
  <c r="A371" i="19" s="1"/>
  <c r="A372" i="19" s="1"/>
  <c r="A373" i="19" s="1"/>
  <c r="A374" i="19" s="1"/>
  <c r="A375" i="19" s="1"/>
  <c r="A376" i="19" s="1"/>
  <c r="A377" i="19" s="1"/>
  <c r="A378" i="19" s="1"/>
  <c r="A379" i="19" s="1"/>
  <c r="A380" i="19" s="1"/>
  <c r="A381" i="19" s="1"/>
  <c r="A382" i="19" s="1"/>
  <c r="A383" i="19" s="1"/>
  <c r="A384" i="19" s="1"/>
  <c r="A385" i="19" s="1"/>
  <c r="A386" i="19" s="1"/>
  <c r="A387" i="19" s="1"/>
  <c r="A388" i="19" s="1"/>
  <c r="A389" i="19" s="1"/>
  <c r="A390" i="19" s="1"/>
  <c r="A391" i="19" s="1"/>
  <c r="A392" i="19" s="1"/>
  <c r="A393" i="19" s="1"/>
  <c r="A394" i="19" s="1"/>
  <c r="A395" i="19" s="1"/>
  <c r="A396" i="19" s="1"/>
  <c r="A397" i="19" s="1"/>
  <c r="A398" i="19" s="1"/>
  <c r="A399" i="19" s="1"/>
  <c r="A400" i="19" s="1"/>
  <c r="A401" i="19" s="1"/>
  <c r="A402" i="19" s="1"/>
  <c r="A403" i="19" s="1"/>
  <c r="A404" i="19" s="1"/>
  <c r="A405" i="19" s="1"/>
  <c r="A406" i="19" s="1"/>
  <c r="A407" i="19" s="1"/>
  <c r="A408" i="19" s="1"/>
  <c r="A409" i="19" s="1"/>
  <c r="A410" i="19" s="1"/>
  <c r="A411" i="19" s="1"/>
  <c r="A412" i="19" s="1"/>
  <c r="A413" i="19" s="1"/>
  <c r="A414" i="19" s="1"/>
  <c r="A415" i="19" s="1"/>
  <c r="A416" i="19" s="1"/>
  <c r="A417" i="19" s="1"/>
  <c r="A418" i="19" s="1"/>
  <c r="A419" i="19" s="1"/>
  <c r="A420" i="19" s="1"/>
  <c r="A421" i="19" s="1"/>
  <c r="A422" i="19" s="1"/>
  <c r="A423" i="19" s="1"/>
  <c r="A424" i="19" s="1"/>
  <c r="A425" i="19" s="1"/>
  <c r="A426" i="19" s="1"/>
  <c r="A427" i="19" s="1"/>
  <c r="A428" i="19" s="1"/>
  <c r="A429" i="19" s="1"/>
  <c r="A430" i="19" s="1"/>
  <c r="A431" i="19" s="1"/>
  <c r="A432" i="19" s="1"/>
  <c r="A433" i="19" s="1"/>
  <c r="A434" i="19" s="1"/>
  <c r="A435" i="19" s="1"/>
  <c r="A436" i="19" s="1"/>
  <c r="A437" i="19" s="1"/>
  <c r="A438" i="19" s="1"/>
  <c r="A439" i="19" s="1"/>
  <c r="A440" i="19" s="1"/>
  <c r="A441" i="19" s="1"/>
  <c r="A442" i="19" s="1"/>
  <c r="A443" i="19" s="1"/>
  <c r="A444" i="19" s="1"/>
  <c r="A445" i="19" s="1"/>
  <c r="A446" i="19" s="1"/>
  <c r="A447" i="19" s="1"/>
  <c r="A448" i="19" s="1"/>
  <c r="A449" i="19" s="1"/>
  <c r="A450" i="19" s="1"/>
  <c r="A451" i="19" s="1"/>
  <c r="A452" i="19" s="1"/>
  <c r="A453" i="19" s="1"/>
  <c r="A454" i="19" s="1"/>
  <c r="A455" i="19" s="1"/>
  <c r="A456" i="19" s="1"/>
  <c r="A457" i="19" s="1"/>
  <c r="A458" i="19" s="1"/>
  <c r="A459" i="19" s="1"/>
  <c r="A460" i="19" s="1"/>
  <c r="A461" i="19" s="1"/>
  <c r="A462" i="19" s="1"/>
  <c r="A463" i="19" s="1"/>
  <c r="A464" i="19" s="1"/>
  <c r="A465" i="19" s="1"/>
  <c r="A466" i="19" s="1"/>
  <c r="A467" i="19" s="1"/>
  <c r="A468" i="19" s="1"/>
  <c r="A469" i="19" s="1"/>
  <c r="A470" i="19" s="1"/>
  <c r="A471" i="19" s="1"/>
  <c r="A472" i="19" s="1"/>
  <c r="A473" i="19" s="1"/>
  <c r="A474" i="19" s="1"/>
  <c r="A475" i="19" s="1"/>
  <c r="A476" i="19" s="1"/>
  <c r="A477" i="19" s="1"/>
  <c r="A478" i="19" s="1"/>
  <c r="A479" i="19" s="1"/>
  <c r="A480" i="19" s="1"/>
  <c r="A481" i="19" s="1"/>
  <c r="A482" i="19" s="1"/>
  <c r="A483" i="19" s="1"/>
  <c r="A484" i="19" s="1"/>
  <c r="A485" i="19" s="1"/>
  <c r="A486" i="19" s="1"/>
  <c r="A487" i="19" s="1"/>
  <c r="A488" i="19" s="1"/>
  <c r="A489" i="19" s="1"/>
  <c r="A490" i="19" s="1"/>
  <c r="A491" i="19" s="1"/>
  <c r="A492" i="19" s="1"/>
  <c r="A493" i="19" s="1"/>
  <c r="A494" i="19" s="1"/>
  <c r="A495" i="19" s="1"/>
  <c r="A496" i="19" s="1"/>
  <c r="A497" i="19" s="1"/>
  <c r="A498" i="19" s="1"/>
  <c r="A499" i="19" s="1"/>
  <c r="A500" i="19" s="1"/>
  <c r="A501" i="19" s="1"/>
  <c r="A502" i="19" s="1"/>
  <c r="A503" i="19" s="1"/>
  <c r="A504" i="19" s="1"/>
  <c r="A505" i="19" s="1"/>
  <c r="A506" i="19" s="1"/>
  <c r="A507" i="19" s="1"/>
  <c r="A508" i="19" s="1"/>
  <c r="A509" i="19" s="1"/>
  <c r="A510" i="19" s="1"/>
  <c r="A511" i="19" s="1"/>
  <c r="A512" i="19" s="1"/>
  <c r="A513" i="19" s="1"/>
  <c r="A514" i="19" s="1"/>
  <c r="A515" i="19" s="1"/>
  <c r="A516" i="19" s="1"/>
  <c r="A517" i="19" s="1"/>
  <c r="A518" i="19" s="1"/>
  <c r="A519" i="19" s="1"/>
  <c r="A520" i="19" s="1"/>
  <c r="A521" i="19" s="1"/>
  <c r="A522" i="19" s="1"/>
  <c r="A523" i="19" s="1"/>
  <c r="A524" i="19" s="1"/>
  <c r="A525" i="19" s="1"/>
  <c r="A526" i="19" s="1"/>
  <c r="A527" i="19" s="1"/>
  <c r="A528" i="19" s="1"/>
  <c r="A529" i="19" s="1"/>
  <c r="A530" i="19" s="1"/>
  <c r="A531" i="19" s="1"/>
  <c r="A532" i="19" s="1"/>
  <c r="A533" i="19" s="1"/>
  <c r="A534" i="19" s="1"/>
  <c r="A535" i="19" s="1"/>
  <c r="A536" i="19" s="1"/>
  <c r="A537" i="19" s="1"/>
  <c r="A538" i="19" s="1"/>
  <c r="A539" i="19" s="1"/>
  <c r="A540" i="19" s="1"/>
  <c r="A541" i="19" s="1"/>
  <c r="A542" i="19" s="1"/>
  <c r="A543" i="19" s="1"/>
  <c r="A544" i="19" s="1"/>
  <c r="A545" i="19" s="1"/>
  <c r="A546" i="19" s="1"/>
  <c r="A547" i="19" s="1"/>
  <c r="A548" i="19" s="1"/>
  <c r="A549" i="19" s="1"/>
  <c r="A550" i="19" s="1"/>
  <c r="A551" i="19" s="1"/>
  <c r="A552" i="19" s="1"/>
  <c r="A553" i="19" s="1"/>
  <c r="A554" i="19" s="1"/>
  <c r="A555" i="19" s="1"/>
  <c r="A556" i="19" s="1"/>
  <c r="A557" i="19" s="1"/>
  <c r="A558" i="19" s="1"/>
  <c r="A559" i="19" s="1"/>
  <c r="A560" i="19" s="1"/>
  <c r="A561" i="19" s="1"/>
  <c r="A562" i="19" s="1"/>
  <c r="A563" i="19" s="1"/>
  <c r="A564" i="19" s="1"/>
  <c r="A565" i="19" s="1"/>
  <c r="A566" i="19" s="1"/>
  <c r="A567" i="19" s="1"/>
  <c r="A568" i="19" s="1"/>
  <c r="A569" i="19" s="1"/>
  <c r="A570" i="19" s="1"/>
  <c r="A571" i="19" s="1"/>
  <c r="A572" i="19" s="1"/>
  <c r="A573" i="19" s="1"/>
  <c r="A574" i="19" s="1"/>
  <c r="A575" i="19" s="1"/>
  <c r="A576" i="19" s="1"/>
  <c r="A577" i="19" s="1"/>
  <c r="A578" i="19" s="1"/>
  <c r="A579" i="19" s="1"/>
  <c r="A580" i="19" s="1"/>
  <c r="A581" i="19" s="1"/>
  <c r="A582" i="19" s="1"/>
  <c r="A583" i="19" s="1"/>
  <c r="A584" i="19" s="1"/>
  <c r="A585" i="19" s="1"/>
  <c r="A586" i="19" s="1"/>
  <c r="A587" i="19" s="1"/>
  <c r="A588" i="19" s="1"/>
  <c r="A589" i="19" s="1"/>
  <c r="A590" i="19" s="1"/>
  <c r="A591" i="19" s="1"/>
  <c r="A592" i="19" s="1"/>
  <c r="A593" i="19" s="1"/>
  <c r="A594" i="19" s="1"/>
  <c r="A595" i="19" s="1"/>
  <c r="A596" i="19" s="1"/>
  <c r="A597" i="19" s="1"/>
  <c r="A598" i="19" s="1"/>
  <c r="A599" i="19" s="1"/>
  <c r="A600" i="19" s="1"/>
  <c r="A601" i="19" s="1"/>
  <c r="A602" i="19" s="1"/>
  <c r="A603" i="19" s="1"/>
  <c r="A604" i="19" s="1"/>
  <c r="A605" i="19" s="1"/>
  <c r="A606" i="19" s="1"/>
  <c r="A607" i="19" s="1"/>
  <c r="A608" i="19" s="1"/>
  <c r="A609" i="19" s="1"/>
  <c r="A610" i="19" s="1"/>
  <c r="A611" i="19" s="1"/>
  <c r="A612" i="19" s="1"/>
  <c r="A613" i="19" s="1"/>
  <c r="A614" i="19" s="1"/>
  <c r="A615" i="19" s="1"/>
  <c r="A616" i="19" s="1"/>
  <c r="A617" i="19" s="1"/>
  <c r="A618" i="19" s="1"/>
  <c r="A619" i="19" s="1"/>
  <c r="A620" i="19" s="1"/>
  <c r="A621" i="19" s="1"/>
  <c r="A622" i="19" s="1"/>
  <c r="A623" i="19" s="1"/>
  <c r="A624" i="19" s="1"/>
  <c r="A625" i="19" s="1"/>
  <c r="A626" i="19" s="1"/>
  <c r="A627" i="19" s="1"/>
  <c r="A628" i="19" s="1"/>
  <c r="A629" i="19" s="1"/>
  <c r="A630" i="19" s="1"/>
  <c r="A631" i="19" s="1"/>
  <c r="A632" i="19" s="1"/>
  <c r="A633" i="19" s="1"/>
  <c r="A634" i="19" s="1"/>
  <c r="A635" i="19" s="1"/>
  <c r="A636" i="19" s="1"/>
  <c r="A637" i="19" s="1"/>
  <c r="A638" i="19" s="1"/>
  <c r="A639" i="19" s="1"/>
  <c r="A640" i="19" s="1"/>
  <c r="A641" i="19" s="1"/>
  <c r="A642" i="19" s="1"/>
  <c r="A643" i="19" s="1"/>
  <c r="A644" i="19" s="1"/>
  <c r="A645" i="19" s="1"/>
  <c r="A646" i="19" s="1"/>
  <c r="A647" i="19" s="1"/>
  <c r="A648" i="19" s="1"/>
  <c r="A649" i="19" s="1"/>
  <c r="A650" i="19" s="1"/>
  <c r="A651" i="19" s="1"/>
  <c r="A652" i="19" s="1"/>
  <c r="A653" i="19" s="1"/>
  <c r="A654" i="19" s="1"/>
  <c r="A655" i="19" s="1"/>
  <c r="A656" i="19" s="1"/>
  <c r="A657" i="19" s="1"/>
  <c r="A658" i="19" s="1"/>
  <c r="A659" i="19" s="1"/>
  <c r="A660" i="19" s="1"/>
  <c r="A661" i="19" s="1"/>
  <c r="A662" i="19" s="1"/>
  <c r="A663" i="19" s="1"/>
  <c r="A664" i="19" s="1"/>
  <c r="A665" i="19" s="1"/>
  <c r="A666" i="19" s="1"/>
  <c r="A667" i="19" s="1"/>
  <c r="A668" i="19" s="1"/>
  <c r="A669" i="19" s="1"/>
  <c r="A670" i="19" s="1"/>
  <c r="A671" i="19" s="1"/>
  <c r="A672" i="19" s="1"/>
  <c r="A673" i="19" s="1"/>
  <c r="A674" i="19" s="1"/>
  <c r="A675" i="19" s="1"/>
  <c r="A676" i="19" s="1"/>
  <c r="A677" i="19" s="1"/>
  <c r="A678" i="19" s="1"/>
  <c r="A679" i="19" s="1"/>
  <c r="A680" i="19" s="1"/>
  <c r="A681" i="19" s="1"/>
  <c r="A682" i="19" s="1"/>
  <c r="A683" i="19" s="1"/>
  <c r="A684" i="19" s="1"/>
  <c r="A685" i="19" s="1"/>
  <c r="A686" i="19" s="1"/>
  <c r="A687" i="19" s="1"/>
  <c r="A688" i="19" s="1"/>
  <c r="A689" i="19" s="1"/>
  <c r="A690" i="19" s="1"/>
  <c r="A691" i="19" s="1"/>
  <c r="A692" i="19" s="1"/>
  <c r="A693" i="19" s="1"/>
  <c r="A694" i="19" s="1"/>
  <c r="A695" i="19" s="1"/>
  <c r="A696" i="19" s="1"/>
  <c r="A697" i="19" s="1"/>
  <c r="A698" i="19" s="1"/>
  <c r="A699" i="19" s="1"/>
  <c r="A700" i="19" s="1"/>
  <c r="A701" i="19" s="1"/>
  <c r="A702" i="19" s="1"/>
  <c r="A703" i="19" s="1"/>
  <c r="A704" i="19" s="1"/>
  <c r="A705" i="19" s="1"/>
  <c r="A706" i="19" s="1"/>
  <c r="A707" i="19" s="1"/>
  <c r="A708" i="19" s="1"/>
  <c r="A709" i="19" s="1"/>
  <c r="A710" i="19" s="1"/>
  <c r="A711" i="19" s="1"/>
  <c r="A712" i="19" s="1"/>
  <c r="A713" i="19" s="1"/>
  <c r="A714" i="19" s="1"/>
  <c r="A715" i="19" s="1"/>
  <c r="A716" i="19" s="1"/>
  <c r="A717" i="19" s="1"/>
  <c r="A718" i="19" s="1"/>
  <c r="A719" i="19" s="1"/>
  <c r="A720" i="19" s="1"/>
  <c r="A721" i="19" s="1"/>
  <c r="A722" i="19" s="1"/>
  <c r="A723" i="19" s="1"/>
  <c r="A724" i="19" s="1"/>
  <c r="A725" i="19" s="1"/>
  <c r="A726" i="19" s="1"/>
  <c r="A727" i="19" s="1"/>
  <c r="A728" i="19" s="1"/>
  <c r="A729" i="19" s="1"/>
  <c r="A730" i="19" s="1"/>
  <c r="A731" i="19" s="1"/>
  <c r="A732" i="19" s="1"/>
  <c r="A733" i="19" s="1"/>
  <c r="A734" i="19" s="1"/>
  <c r="A735" i="19" s="1"/>
  <c r="A736" i="19" s="1"/>
  <c r="A737" i="19" s="1"/>
  <c r="A738" i="19" s="1"/>
  <c r="A739" i="19" s="1"/>
  <c r="A740" i="19" s="1"/>
  <c r="A741" i="19" s="1"/>
  <c r="A742" i="19" s="1"/>
  <c r="A743" i="19" s="1"/>
  <c r="A744" i="19" s="1"/>
  <c r="A745" i="19" s="1"/>
  <c r="A746" i="19" s="1"/>
  <c r="A747" i="19" s="1"/>
  <c r="A748" i="19" s="1"/>
  <c r="A749" i="19" s="1"/>
  <c r="A750" i="19" s="1"/>
  <c r="A751" i="19" s="1"/>
  <c r="A752" i="19" s="1"/>
  <c r="A753" i="19" s="1"/>
  <c r="A754" i="19" s="1"/>
  <c r="A755" i="19" s="1"/>
  <c r="A756" i="19" s="1"/>
  <c r="A757" i="19" s="1"/>
  <c r="A758" i="19" s="1"/>
  <c r="A759" i="19" s="1"/>
  <c r="A760" i="19" s="1"/>
  <c r="A761" i="19" s="1"/>
  <c r="A762" i="19" s="1"/>
  <c r="A763" i="19" s="1"/>
  <c r="A764" i="19" s="1"/>
  <c r="A765" i="19" s="1"/>
  <c r="A766" i="19" s="1"/>
  <c r="A767" i="19" s="1"/>
  <c r="A768" i="19" s="1"/>
  <c r="A769" i="19" s="1"/>
  <c r="A770" i="19" s="1"/>
  <c r="A771" i="19" s="1"/>
  <c r="A772" i="19" s="1"/>
  <c r="A773" i="19" s="1"/>
  <c r="A774" i="19" s="1"/>
  <c r="A775" i="19" s="1"/>
  <c r="A776" i="19" s="1"/>
  <c r="A777" i="19" s="1"/>
  <c r="A778" i="19" s="1"/>
  <c r="A779" i="19" s="1"/>
  <c r="A780" i="19" s="1"/>
  <c r="A781" i="19" s="1"/>
  <c r="A782" i="19" s="1"/>
  <c r="A783" i="19" s="1"/>
  <c r="A784" i="19" s="1"/>
  <c r="A785" i="19" s="1"/>
  <c r="A786" i="19" s="1"/>
  <c r="A787" i="19" s="1"/>
  <c r="A788" i="19" s="1"/>
  <c r="A789" i="19" s="1"/>
  <c r="A790" i="19" s="1"/>
  <c r="A791" i="19" s="1"/>
  <c r="A792" i="19" s="1"/>
  <c r="A793" i="19" s="1"/>
  <c r="A794" i="19" s="1"/>
  <c r="A795" i="19" s="1"/>
  <c r="A796" i="19" s="1"/>
  <c r="A797" i="19" s="1"/>
  <c r="A798" i="19" s="1"/>
  <c r="A799" i="19" s="1"/>
  <c r="A800" i="19" s="1"/>
  <c r="A801" i="19" s="1"/>
  <c r="A802" i="19" s="1"/>
  <c r="A803" i="19" s="1"/>
  <c r="A804" i="19" s="1"/>
  <c r="A805" i="19" s="1"/>
  <c r="A806" i="19" s="1"/>
  <c r="A807" i="19" s="1"/>
  <c r="A808" i="19" s="1"/>
  <c r="A809" i="19" s="1"/>
  <c r="A810" i="19" s="1"/>
  <c r="A811" i="19" s="1"/>
  <c r="A812" i="19" s="1"/>
  <c r="A813" i="19" s="1"/>
  <c r="A814" i="19" s="1"/>
  <c r="A815" i="19" s="1"/>
  <c r="A816" i="19" s="1"/>
  <c r="A817" i="19" s="1"/>
  <c r="A818" i="19" s="1"/>
  <c r="A819" i="19" s="1"/>
  <c r="A820" i="19" s="1"/>
  <c r="A821" i="19" s="1"/>
  <c r="A822" i="19" s="1"/>
  <c r="A823" i="19" s="1"/>
  <c r="A824" i="19" s="1"/>
  <c r="A825" i="19" s="1"/>
  <c r="A826" i="19" s="1"/>
  <c r="A827" i="19" s="1"/>
  <c r="A828" i="19" s="1"/>
  <c r="A829" i="19" s="1"/>
  <c r="A830" i="19" s="1"/>
  <c r="A831" i="19" s="1"/>
  <c r="A832" i="19" s="1"/>
  <c r="A833" i="19" s="1"/>
  <c r="A834" i="19" s="1"/>
  <c r="A835" i="19" s="1"/>
  <c r="A836" i="19" s="1"/>
  <c r="A837" i="19" s="1"/>
  <c r="A838" i="19" s="1"/>
  <c r="A839" i="19" s="1"/>
  <c r="A840" i="19" s="1"/>
  <c r="A841" i="19" s="1"/>
  <c r="A842" i="19" s="1"/>
  <c r="A843" i="19" s="1"/>
  <c r="A844" i="19" s="1"/>
  <c r="A845" i="19" s="1"/>
  <c r="A846" i="19" s="1"/>
  <c r="A847" i="19" s="1"/>
  <c r="A848" i="19" s="1"/>
  <c r="A849" i="19" s="1"/>
  <c r="A850" i="19" s="1"/>
  <c r="A851" i="19" s="1"/>
  <c r="A852" i="19" s="1"/>
  <c r="A853" i="19" s="1"/>
  <c r="A854" i="19" s="1"/>
  <c r="A855" i="19" s="1"/>
  <c r="A856" i="19" s="1"/>
  <c r="A857" i="19" s="1"/>
  <c r="A858" i="19" s="1"/>
  <c r="A859" i="19" s="1"/>
  <c r="A860" i="19" s="1"/>
  <c r="A861" i="19" s="1"/>
  <c r="A862" i="19" s="1"/>
  <c r="A863" i="19" s="1"/>
  <c r="A30" i="19"/>
</calcChain>
</file>

<file path=xl/sharedStrings.xml><?xml version="1.0" encoding="utf-8"?>
<sst xmlns="http://schemas.openxmlformats.org/spreadsheetml/2006/main" count="11963" uniqueCount="2512">
  <si>
    <t>Draft Version</t>
  </si>
  <si>
    <t>Product Strategy</t>
  </si>
  <si>
    <t>Description</t>
  </si>
  <si>
    <t>Notes for ID Implementation</t>
  </si>
  <si>
    <t>Product Types Offered</t>
  </si>
  <si>
    <t xml:space="preserve">Personal Loan - Unsecured General Purpose Loan for Everyone - seperated into new-to-bank and existing customer flows
Student Loan - 0% interest loan for students
</t>
  </si>
  <si>
    <t>One decision flow covering all sub-products.
Sub-products are managed with "requsted product code" field coming from Application System
Product Strategy Decision Flow:
3 service calls for each flow:
App.Call No = 1 =&gt; PL_Call1
App. Call No = 2 =&gt; PL_Call2
App. Call No = 3 =&gt; PL_Call3
Requested Product Codes:  
PL1 : Personal Loan
PL2 : Student Loan</t>
  </si>
  <si>
    <t>Min Loan Amount</t>
  </si>
  <si>
    <t>10,000 for PL1
5,000 for PL2</t>
  </si>
  <si>
    <t>Constant assignment table</t>
  </si>
  <si>
    <t>Max Loan Amount</t>
  </si>
  <si>
    <t>100,000 for PL1
50,000 for PL2</t>
  </si>
  <si>
    <t>Currency</t>
  </si>
  <si>
    <t>USD</t>
  </si>
  <si>
    <t>Let's assume all currencies of amounts in input and output are in USD</t>
  </si>
  <si>
    <t>Min Tenor</t>
  </si>
  <si>
    <t>6 months for PL1
1 month for PL2</t>
  </si>
  <si>
    <t>Max Tenor</t>
  </si>
  <si>
    <t>60 months for PL1
48 month for PL2</t>
  </si>
  <si>
    <t>Approval Authority (based on exposure)</t>
  </si>
  <si>
    <t>Loan Amount &gt;50,000 goes to Credit Committee
Loan Amount &gt;80,000 goes to Group Retail Committee</t>
  </si>
  <si>
    <t>Guarantor / Co-borrower Requirement</t>
  </si>
  <si>
    <t>Not required, as product is unsecured</t>
  </si>
  <si>
    <t>62 (If pensioner loan 75)</t>
  </si>
  <si>
    <t>67 (If pensioner loan 75)</t>
  </si>
  <si>
    <t>(It needs surety for all amounts)</t>
  </si>
  <si>
    <t>Call 1</t>
  </si>
  <si>
    <t>Personal Loans Flow Call 1: Credit Policy Knock-outs</t>
  </si>
  <si>
    <t>No</t>
  </si>
  <si>
    <t>Decision Flow Property</t>
  </si>
  <si>
    <t>Rules / Table</t>
  </si>
  <si>
    <t xml:space="preserve">Initialization </t>
  </si>
  <si>
    <t>To set all decisions default to "Accept" and all ID outputs and calculated variables to default values 
For example,
Income Calculation.Calculated Monthly Net Income = 0,
LPA.Payment Plan Type.Accept Requested Payment Plan Type Flag = N
…etc all numeric variables should be initialized to 0. 
Please check the data dictionary for default values of alphanumeric fields</t>
  </si>
  <si>
    <t>Table</t>
  </si>
  <si>
    <t>Min Age</t>
  </si>
  <si>
    <t>To set minimum age requirements</t>
  </si>
  <si>
    <t>Max Age</t>
  </si>
  <si>
    <t>To set maximum age requirements</t>
  </si>
  <si>
    <t>Min Income</t>
  </si>
  <si>
    <t>To set minimum income requirement</t>
  </si>
  <si>
    <t>To set minimum loan amount</t>
  </si>
  <si>
    <t>To set maximum loan amount</t>
  </si>
  <si>
    <t>To set minimum tenor</t>
  </si>
  <si>
    <t>To set maximum tenor</t>
  </si>
  <si>
    <t>Application Scorecard</t>
  </si>
  <si>
    <t>To calculate the application score</t>
  </si>
  <si>
    <t>Behavior Scorecard</t>
  </si>
  <si>
    <t>To calculate the behavior score</t>
  </si>
  <si>
    <t>Credit Risk Segmentation</t>
  </si>
  <si>
    <t>To assign the credit risk segment based on credit bureau and application / behavior score</t>
  </si>
  <si>
    <t>Maximum Income Multiplier</t>
  </si>
  <si>
    <t>To set MIM</t>
  </si>
  <si>
    <t>Maximum Unsecured Exposure</t>
  </si>
  <si>
    <t>To set maximum MUE</t>
  </si>
  <si>
    <t>Debt Burden</t>
  </si>
  <si>
    <t>To set maximum debt burden</t>
  </si>
  <si>
    <t>Rules</t>
  </si>
  <si>
    <t>Loan Amount Calculation</t>
  </si>
  <si>
    <t>To calculate the suggested loan amount</t>
  </si>
  <si>
    <t>Credit Policy Rules Call 1</t>
  </si>
  <si>
    <t>To apply call 1 credit policy knock-out rules</t>
  </si>
  <si>
    <t>Credit Policy Rules Reason Codes</t>
  </si>
  <si>
    <t>To assign the Reason Codes for all triggered Credit Policy Rules</t>
  </si>
  <si>
    <t>Output Fields Call 1</t>
  </si>
  <si>
    <t>To set user defined output fields (such as credit bureau req..Y/N field etc)</t>
  </si>
  <si>
    <t>Final Decision</t>
  </si>
  <si>
    <t>To set the final decision based on triggered rules (accept, decline or refer)</t>
  </si>
  <si>
    <t>Call 2</t>
  </si>
  <si>
    <t>Personal Loans Flow Call 2: Minimum Eligibility Checks</t>
  </si>
  <si>
    <t>Category</t>
  </si>
  <si>
    <t>Credit Policy Rules Call 2</t>
  </si>
  <si>
    <t>To apply call 2 credit policy rules</t>
  </si>
  <si>
    <t>Verification Decision</t>
  </si>
  <si>
    <t xml:space="preserve">To determine if a verification is required for the application and it should be parked </t>
  </si>
  <si>
    <t>Documentation Decision</t>
  </si>
  <si>
    <t xml:space="preserve">To determine if a documentation is required for the application and it should be parked </t>
  </si>
  <si>
    <t>Output Fields Call 2</t>
  </si>
  <si>
    <t>Call 3</t>
  </si>
  <si>
    <t>Personal Loans Flow Call 3: Final Credit Decision</t>
  </si>
  <si>
    <t>Credit Policy Rules Call 3</t>
  </si>
  <si>
    <t>To apply call 3 credit policy rules</t>
  </si>
  <si>
    <t>Output Fields Call 3</t>
  </si>
  <si>
    <t>Approval Authority</t>
  </si>
  <si>
    <t>To set the approver authority level</t>
  </si>
  <si>
    <t>These tables should be ready in the template content and be editable by the client teams at parametere level.</t>
  </si>
  <si>
    <t>For example, in this demo and example content, we are setting min age to 21, but client should be able to set it to 18 after purchase.</t>
  </si>
  <si>
    <t>Number and type of products should be able to be multiplicated as well.</t>
  </si>
  <si>
    <t>Table:</t>
  </si>
  <si>
    <t>Description:</t>
  </si>
  <si>
    <t>To set minimum age policy requirements</t>
  </si>
  <si>
    <t>Requested Product Code</t>
  </si>
  <si>
    <t>PL1</t>
  </si>
  <si>
    <t>PL2</t>
  </si>
  <si>
    <t>To set maximum age policy requirements</t>
  </si>
  <si>
    <t>To set minimum income policy requirements</t>
  </si>
  <si>
    <t>Min Income (monthly net)</t>
  </si>
  <si>
    <t>To set minimum loan amount policy requirements</t>
  </si>
  <si>
    <t>To set maximum loan amount policy requirements</t>
  </si>
  <si>
    <t>To set minimum tenor policy requirements</t>
  </si>
  <si>
    <t>To set maximum tenor policy requirements</t>
  </si>
  <si>
    <t>Decision Table:</t>
  </si>
  <si>
    <t>Existing Customer Flag</t>
  </si>
  <si>
    <t>Behavior Score</t>
  </si>
  <si>
    <t>Application Score</t>
  </si>
  <si>
    <t>Credit Bureau Score</t>
  </si>
  <si>
    <t>Credit Risk Segment</t>
  </si>
  <si>
    <t>Definition</t>
  </si>
  <si>
    <t>Y</t>
  </si>
  <si>
    <t>VL</t>
  </si>
  <si>
    <t>Very low risk</t>
  </si>
  <si>
    <t>LO</t>
  </si>
  <si>
    <t>Low risk</t>
  </si>
  <si>
    <t>ME</t>
  </si>
  <si>
    <t>Medium risk</t>
  </si>
  <si>
    <t>HI</t>
  </si>
  <si>
    <t>High Risk</t>
  </si>
  <si>
    <t>VH</t>
  </si>
  <si>
    <t>Very high risk</t>
  </si>
  <si>
    <t>N</t>
  </si>
  <si>
    <t xml:space="preserve">Assigns the Maximum Income Multiplier which caps the maximum eligible loan amount </t>
  </si>
  <si>
    <t>Income</t>
  </si>
  <si>
    <t>MIM</t>
  </si>
  <si>
    <t>1000</t>
  </si>
  <si>
    <t>VL, LO</t>
  </si>
  <si>
    <t>Low</t>
  </si>
  <si>
    <t>5</t>
  </si>
  <si>
    <t>Medium</t>
  </si>
  <si>
    <t>10</t>
  </si>
  <si>
    <t>High</t>
  </si>
  <si>
    <t>12</t>
  </si>
  <si>
    <t>4</t>
  </si>
  <si>
    <t>7</t>
  </si>
  <si>
    <t>HI, VH</t>
  </si>
  <si>
    <t>3</t>
  </si>
  <si>
    <t>Assigns the max customer exposure policy</t>
  </si>
  <si>
    <t xml:space="preserve"> le</t>
  </si>
  <si>
    <t>50000</t>
  </si>
  <si>
    <t>Debt burden</t>
  </si>
  <si>
    <t>Assigns the max customer exposure requirement</t>
  </si>
  <si>
    <t>Maximum Debt Burden</t>
  </si>
  <si>
    <t>50%</t>
  </si>
  <si>
    <t>65%</t>
  </si>
  <si>
    <t>75%</t>
  </si>
  <si>
    <t>80%</t>
  </si>
  <si>
    <t>55%</t>
  </si>
  <si>
    <t>60%</t>
  </si>
  <si>
    <t>Interest rate</t>
  </si>
  <si>
    <t>Assigns the Interest rate based on Muhammet Guncan from 13.03.2023</t>
  </si>
  <si>
    <t>Tenor</t>
  </si>
  <si>
    <t>Base Rate (Lookuptable in ID by tenor)</t>
  </si>
  <si>
    <t>Spread (Lookup Table in ID by risk segment)</t>
  </si>
  <si>
    <t>Final Rate</t>
  </si>
  <si>
    <t>&lt;=12 months</t>
  </si>
  <si>
    <t>&lt;=24 months</t>
  </si>
  <si>
    <t>&lt;=36 months</t>
  </si>
  <si>
    <t>&lt;=60 months</t>
  </si>
  <si>
    <t>Scorecard</t>
  </si>
  <si>
    <t>Characteristics</t>
  </si>
  <si>
    <t>Range</t>
  </si>
  <si>
    <t>Score</t>
  </si>
  <si>
    <t>Min Score</t>
  </si>
  <si>
    <t>Max Score</t>
  </si>
  <si>
    <t>Age</t>
  </si>
  <si>
    <t>&lt; 18 Years</t>
  </si>
  <si>
    <t>CUSTOMER_AGE</t>
  </si>
  <si>
    <t>18 - 30 Years</t>
  </si>
  <si>
    <t>30 -  40 Years</t>
  </si>
  <si>
    <t>40 -  50 Years</t>
  </si>
  <si>
    <t>50+ years</t>
  </si>
  <si>
    <t>No Information</t>
  </si>
  <si>
    <t>No response</t>
  </si>
  <si>
    <t>Residential Status</t>
  </si>
  <si>
    <t>Belongs to Customer</t>
  </si>
  <si>
    <t>RESIDENCE_STATUS</t>
  </si>
  <si>
    <t>Mortgage</t>
  </si>
  <si>
    <t>Co-Owner</t>
  </si>
  <si>
    <t>Belongs to Family</t>
  </si>
  <si>
    <t>Belongs to Someone Else</t>
  </si>
  <si>
    <t>Rent</t>
  </si>
  <si>
    <t>Other</t>
  </si>
  <si>
    <t>Time in Current Employment (months)</t>
  </si>
  <si>
    <t>Less than 12 Months</t>
  </si>
  <si>
    <t>TOTAL_EMPLOYMENT_DURATION</t>
  </si>
  <si>
    <t>12 to &lt; 24 Months</t>
  </si>
  <si>
    <t>24 to &lt; 48 Months</t>
  </si>
  <si>
    <t>48 to &lt; 60 Months</t>
  </si>
  <si>
    <t>&gt; 60 Months</t>
  </si>
  <si>
    <t>Marital Status</t>
  </si>
  <si>
    <t>Married</t>
  </si>
  <si>
    <t>MARITAL_STATUS</t>
  </si>
  <si>
    <t>Widowed</t>
  </si>
  <si>
    <t>Engaged \ Co-Living</t>
  </si>
  <si>
    <t>Divorced</t>
  </si>
  <si>
    <t>Single</t>
  </si>
  <si>
    <t>Employment Status</t>
  </si>
  <si>
    <t>Public Sector salaried</t>
  </si>
  <si>
    <t>CUSTOMER_EMPLOYMENT_TYPE</t>
  </si>
  <si>
    <t>Private Sector salaried</t>
  </si>
  <si>
    <t>Banking / Financial Institution Salaried</t>
  </si>
  <si>
    <t xml:space="preserve">Trade </t>
  </si>
  <si>
    <t>Self-employed Professional</t>
  </si>
  <si>
    <t>Owner/Shareholder</t>
  </si>
  <si>
    <t>Farmer</t>
  </si>
  <si>
    <t>Housewife</t>
  </si>
  <si>
    <t>Student</t>
  </si>
  <si>
    <t>Retired</t>
  </si>
  <si>
    <t>Unemployed \ Immigrant</t>
  </si>
  <si>
    <t>Education</t>
  </si>
  <si>
    <t>Primary</t>
  </si>
  <si>
    <t>CUSTOMER_EDUCATION</t>
  </si>
  <si>
    <t>High School</t>
  </si>
  <si>
    <t>College \ University</t>
  </si>
  <si>
    <t>Masters \ Doctorate</t>
  </si>
  <si>
    <t>Number of dependents</t>
  </si>
  <si>
    <t>CUSTOMER_DEPENDENTS_CNT</t>
  </si>
  <si>
    <t>3 or more</t>
  </si>
  <si>
    <t>Total Asset Size</t>
  </si>
  <si>
    <t>New Customer</t>
  </si>
  <si>
    <t>No Assets</t>
  </si>
  <si>
    <t>1 - &lt; 1000</t>
  </si>
  <si>
    <t>1,000 -  &lt; 10,000</t>
  </si>
  <si>
    <t>10,000 -  &lt;100,000</t>
  </si>
  <si>
    <t>&gt; 100,000 +</t>
  </si>
  <si>
    <t>Worst Delinquency Status Last 12 Months (dpd) in credit bureau</t>
  </si>
  <si>
    <t>WPS_L12M</t>
  </si>
  <si>
    <t>1-30</t>
  </si>
  <si>
    <t>31-60</t>
  </si>
  <si>
    <t>61+</t>
  </si>
  <si>
    <t xml:space="preserve"> No Match</t>
  </si>
  <si>
    <t xml:space="preserve">Expert Behaviou Scorecard developed  for portfolio management decisions of Personal Loans </t>
  </si>
  <si>
    <t>Time with Bank</t>
  </si>
  <si>
    <t>1 to &lt;  6 Months</t>
  </si>
  <si>
    <t>7 to &lt; 24 Months</t>
  </si>
  <si>
    <t>25 to &lt; 36 Months</t>
  </si>
  <si>
    <t>&gt; 37 Months</t>
  </si>
  <si>
    <t>Worst delinquency in last 3 months - in-house</t>
  </si>
  <si>
    <t>0</t>
  </si>
  <si>
    <t>1</t>
  </si>
  <si>
    <t>2</t>
  </si>
  <si>
    <t>4+</t>
  </si>
  <si>
    <t>% of payment cycles when cycle delinquency is greater than 0 in last 12 cycles - in-house</t>
  </si>
  <si>
    <t>0-25%</t>
  </si>
  <si>
    <t>26-50%</t>
  </si>
  <si>
    <t>51-80%</t>
  </si>
  <si>
    <t>81+%</t>
  </si>
  <si>
    <t>% of payment cycles when cycle delinquency is greater than 1 in last 6 cycles - in-house</t>
  </si>
  <si>
    <t>% of  cycles when payment is greater than 0 in last 12 cycles - in-house</t>
  </si>
  <si>
    <t>Worst delinquency in last 3 months - credit bureau</t>
  </si>
  <si>
    <t>% of payment cycles when cycle delinquency is greater than 0 in last 12 cycles - credit bureau</t>
  </si>
  <si>
    <t>% of payment cycles when cycle delinquency is greater than 1 in last 6 cycles - credit bureau</t>
  </si>
  <si>
    <t>% of  cycles when payment is greater than 0 in last 12 cycles - credit bureau</t>
  </si>
  <si>
    <t>Application score build based on random forest</t>
  </si>
  <si>
    <t>BUREAU_SCORE</t>
  </si>
  <si>
    <t>DOCUMENTED_INCOME</t>
  </si>
  <si>
    <t>PRODUCT_CODE</t>
  </si>
  <si>
    <t>Behavioral Score</t>
  </si>
  <si>
    <t>Build with VDMML using the risk add on scorecard and interactive groupng</t>
  </si>
  <si>
    <t>BUREAU_CARD_UTILIZATION</t>
  </si>
  <si>
    <t>CUSTOMER_MONTH_EXPENCES</t>
  </si>
  <si>
    <t>DECLARE_INCOME</t>
  </si>
  <si>
    <t>WPS_AUTO_LOAN_LAST_!"M</t>
  </si>
  <si>
    <t>WPS_CARD_LOAN_LAST_!"M</t>
  </si>
  <si>
    <t>WPS_LOAN_LOAN_LAST_!"M</t>
  </si>
  <si>
    <t>WPS_MORTGAGE_LOAN_LAST_!"M</t>
  </si>
  <si>
    <t>WPS_OD_LOAN_LAST_!"M</t>
  </si>
  <si>
    <t>NUM_CHARE_OFF_36M</t>
  </si>
  <si>
    <t>REQUESTED_LOAN_AMOUNT</t>
  </si>
  <si>
    <t>TOTAL_NON_CARD_BALANCE</t>
  </si>
  <si>
    <t>&gt;= 247</t>
  </si>
  <si>
    <t> </t>
  </si>
  <si>
    <t>203-246</t>
  </si>
  <si>
    <t>178-202</t>
  </si>
  <si>
    <t>&gt;= 768</t>
  </si>
  <si>
    <t>562-767</t>
  </si>
  <si>
    <t>426-561</t>
  </si>
  <si>
    <t>233-425</t>
  </si>
  <si>
    <t>&lt;= 232</t>
  </si>
  <si>
    <t>167-177</t>
  </si>
  <si>
    <t>0-166</t>
  </si>
  <si>
    <t>&lt;= 0.026</t>
  </si>
  <si>
    <t>0,026-0,027</t>
  </si>
  <si>
    <t>0,027-0,029</t>
  </si>
  <si>
    <t>0,029-0,032</t>
  </si>
  <si>
    <t>&gt;=0,032</t>
  </si>
  <si>
    <t>Ruleset:</t>
  </si>
  <si>
    <t>Initialization</t>
  </si>
  <si>
    <t>Rule Name</t>
  </si>
  <si>
    <t>Logic</t>
  </si>
  <si>
    <t>Default</t>
  </si>
  <si>
    <t>Initialization of decisions, output fields and calculated variables to their default figures to avoid system error</t>
  </si>
  <si>
    <t>To set all decisions default to "Accept" and all ID outputs and calculated variables to default values 
For example:
Income Calculation.Calculated Monthly Net Income = 0,
LPA.Payment Plan Type.Accept Requested Payment Plan Type Flag = N
…etc all numeric variables should be initialized to 0. 
Please check the data dictionary for default values of alphanumeric fields</t>
  </si>
  <si>
    <t>Up-sell</t>
  </si>
  <si>
    <t>Determines if customer is eligible for up-sell</t>
  </si>
  <si>
    <t>If Risk Segmentation.Risk Segment = VL,
Upsell_Flag = Y,
else
Upsell_Flag = N</t>
  </si>
  <si>
    <t>Deriving "Worst CB Delinquency Status Last 12 Months (dpd)" scorecard characteristic from product level data dictionary keys</t>
  </si>
  <si>
    <t>WPS_L12M = Max(App.WPS Card Last 12M, App.WPS Loan Last 12M, App.WPS Mortgage Last 12M, App.WPS Auto Loan Last 12M, App.WPS OD Last 12M)</t>
  </si>
  <si>
    <t>Credit Policy Rules in call flow item: Credit Policy Rules Call 1</t>
  </si>
  <si>
    <t>Decision</t>
  </si>
  <si>
    <t>Reason Code</t>
  </si>
  <si>
    <t>Unemployed</t>
  </si>
  <si>
    <t>Customer is unemployed</t>
  </si>
  <si>
    <t xml:space="preserve">If Product code = PL1 and Employment Type = U, R, H, T </t>
  </si>
  <si>
    <t>Decline</t>
  </si>
  <si>
    <t>D101</t>
  </si>
  <si>
    <t xml:space="preserve">Customer's income is below policy minimum </t>
  </si>
  <si>
    <t>If Product code = PL1 and Declared Income &lt; Minimum Income</t>
  </si>
  <si>
    <t>D102</t>
  </si>
  <si>
    <t>Permanent Residency</t>
  </si>
  <si>
    <t xml:space="preserve">Customer is not a permanent resident of Country </t>
  </si>
  <si>
    <t xml:space="preserve">If Permanent Residence Flag = N </t>
  </si>
  <si>
    <t>D103</t>
  </si>
  <si>
    <t>Pledged Account</t>
  </si>
  <si>
    <t>Customer has a blocked account at the bank</t>
  </si>
  <si>
    <t>If Pledged Amount&gt;1000</t>
  </si>
  <si>
    <t>D104</t>
  </si>
  <si>
    <t>Customer's age is below policy minimum</t>
  </si>
  <si>
    <t>If Product code = PL1 and Customer's Age&lt; 20
else if Product code = PL2 and Customer's Age &lt; 17</t>
  </si>
  <si>
    <t>D105</t>
  </si>
  <si>
    <t>Customer is above maximum</t>
  </si>
  <si>
    <t xml:space="preserve">If Age &gt; Maximum Age </t>
  </si>
  <si>
    <t>D106</t>
  </si>
  <si>
    <t>Non-target_Market</t>
  </si>
  <si>
    <t>Customer is not in the target market of personal loans</t>
  </si>
  <si>
    <t xml:space="preserve">If Employment Type is in { E, O, F, M} </t>
  </si>
  <si>
    <t>D107</t>
  </si>
  <si>
    <t>Job Duration</t>
  </si>
  <si>
    <t>Customer's job duration is less than policy minimum</t>
  </si>
  <si>
    <t>If Total Employment Duration &lt; 6 and App.Employment Type = P,S,L,O,F,B</t>
  </si>
  <si>
    <t>D108</t>
  </si>
  <si>
    <t xml:space="preserve">Customer has a bank legal follow up </t>
  </si>
  <si>
    <t>Customer has defaulted in payments and a legal follow up is initiated by the bank (in house)</t>
  </si>
  <si>
    <t xml:space="preserve">If App.Customer status is in L,S,W,A,R,V
</t>
  </si>
  <si>
    <t>D109</t>
  </si>
  <si>
    <t>Current Delinquency</t>
  </si>
  <si>
    <t>If customer has current delays &gt; 30 days for any credit product at the bank (credit card, loans, overdraft etc)</t>
  </si>
  <si>
    <t xml:space="preserve">
If Current 30 dpd number of Credit Cards&gt;0, or
Current 30 dpd number of Personal Loans&gt;0, or
Current 30 dpd number of Auto Loans&gt;0, or
Current 30 dpd number of Mortgages&gt;0, or
Current 30 dpd number of Cash Collateral&gt;0, or  
Current 30 dpd number of Overdrafts&gt;0
</t>
  </si>
  <si>
    <t>D110</t>
  </si>
  <si>
    <t>Credit Bureau Check</t>
  </si>
  <si>
    <t xml:space="preserve">If customer has a fresh credit bureau data, no need to do a credit bureau inquiry </t>
  </si>
  <si>
    <t xml:space="preserve">If Bureau Investigation Date Since&gt;0 and Bureau Investigation Date Since&lt;10 then call Credit Bureau with return variable CALL_BUREAU = N, else Y. </t>
  </si>
  <si>
    <t>Random Number</t>
  </si>
  <si>
    <t>To be used in champion/challenger strategy setup. RAND function should be used to create a random number between 1 to 999.</t>
  </si>
  <si>
    <t xml:space="preserve">Random Number = RAND()
</t>
  </si>
  <si>
    <t>Credit Policy Rules in call flow item: Credit Policy Rules Call 2</t>
  </si>
  <si>
    <t>Decision Reason Code</t>
  </si>
  <si>
    <t xml:space="preserve">Customer has a bureau legal follow up </t>
  </si>
  <si>
    <t>Customer has defaulted in payments and a legal follow up is initiated by the bank at credit bureau</t>
  </si>
  <si>
    <t xml:space="preserve">If App.WPS (Worst Payment Status) Ever = L
</t>
  </si>
  <si>
    <t>D111</t>
  </si>
  <si>
    <t>Very High Risk Segment</t>
  </si>
  <si>
    <t>According to application score x bureau score policy or behavior score x bureau score policy, score is below minimum or customer risk gement is very high</t>
  </si>
  <si>
    <t>If Risk Segmentation.Risk Segment = VH</t>
  </si>
  <si>
    <t>D112</t>
  </si>
  <si>
    <t>No Disposable_Income</t>
  </si>
  <si>
    <t>Declines if there is no room in customer's current disposable income</t>
  </si>
  <si>
    <t xml:space="preserve">If Income Calculation.Disposable Net Income &lt;= 0 </t>
  </si>
  <si>
    <t>D113</t>
  </si>
  <si>
    <t>High Maximum_Unsecured_Exposure</t>
  </si>
  <si>
    <t>Declines if customer's total unsecured exposure is above policy</t>
  </si>
  <si>
    <t>If Limit Calculation.CustomerUnsecuredExposure&gt; Limit Calculation.MaxCustomerUnsecuredExposure</t>
  </si>
  <si>
    <t>D114</t>
  </si>
  <si>
    <t>Below Min Limit / No Room for Loan</t>
  </si>
  <si>
    <t>Credit limit calculated for the customer is below product minimum</t>
  </si>
  <si>
    <t>If Limit Calculation.App.Suggested Loan Amount&lt;LPA.Min loan amount</t>
  </si>
  <si>
    <t>D115</t>
  </si>
  <si>
    <t>High Debt Burden</t>
  </si>
  <si>
    <t>Debt burden calculated is higher than maximum allowed debt burden</t>
  </si>
  <si>
    <t xml:space="preserve">If Limit Calculation.Debt Burden Ratio &gt; Max Debt Burden.Max Debt Burden </t>
  </si>
  <si>
    <t>D116</t>
  </si>
  <si>
    <t>Credit Committee Approval</t>
  </si>
  <si>
    <t>Loan Amount &gt;50,000 goes to Credit Committee</t>
  </si>
  <si>
    <t>If Limit Calculation.App.Suggested Loan Amount &gt; 50000</t>
  </si>
  <si>
    <t>Refer</t>
  </si>
  <si>
    <t>R101</t>
  </si>
  <si>
    <t>Group Retail Committee Approval</t>
  </si>
  <si>
    <t>Loan Amount &gt;80,000 goes to Group Retail Committee</t>
  </si>
  <si>
    <t>If Limit Calculation.App.Suggested Loan Amount &gt; 80000</t>
  </si>
  <si>
    <t>R102</t>
  </si>
  <si>
    <t>Customer is a staff</t>
  </si>
  <si>
    <t>If customer is bank's staff, HR view is required</t>
  </si>
  <si>
    <t>If App.Application.Staff Flag = Y</t>
  </si>
  <si>
    <t>R104</t>
  </si>
  <si>
    <t>verification_needed</t>
  </si>
  <si>
    <t xml:space="preserve">If verification is needed for that account, OMDM sends this flag Y and PEGA parks the application for manual review </t>
  </si>
  <si>
    <t>If Verification Decision.Decision=Y and Verification Completed Flag=N</t>
  </si>
  <si>
    <t>R105</t>
  </si>
  <si>
    <t>documentation_needed</t>
  </si>
  <si>
    <t xml:space="preserve">If further documentation is required, OMDM sends this flag Y and PEGA parks the application for manual review </t>
  </si>
  <si>
    <t>If Documentation Decision.Decision=Y and Documentation Completed Flag=N</t>
  </si>
  <si>
    <t>R106</t>
  </si>
  <si>
    <t>fraud_control_main applicant</t>
  </si>
  <si>
    <t>Customer has an inconsistency in application information with previous applications</t>
  </si>
  <si>
    <t>If Home city inconsistency flag for main applicant = Y OR
Business/work city inconsistency flag for main applicant = Y OR
Email inconsistency flag for main applicant = Y OR 
Mother's maiden name inconsistency flag for main applicant = Y</t>
  </si>
  <si>
    <t>R107</t>
  </si>
  <si>
    <t>App.Bureau Fraud Flag</t>
  </si>
  <si>
    <t xml:space="preserve">Credit Policy Rules in call flow item: Credit Policy Rules Call 3 - REPEAT OF POLICY DECLINES IN CALL 1 AND 2 </t>
  </si>
  <si>
    <t>Customer is not eligible to requested amount</t>
  </si>
  <si>
    <t>Refers if customer requested amount is higher than max eligible loan amount</t>
  </si>
  <si>
    <t>If Requested Loan Amount &gt; Limit Calculation.App.Suggested Loan Amount 
AND
Limit Calculation.App.Suggested Loan Amount &gt; 0</t>
  </si>
  <si>
    <t>R103</t>
  </si>
  <si>
    <t>call1_decision</t>
  </si>
  <si>
    <t>There will be several knock-out, accept or refer rules will be fired with different order and decision category. This rule will decline if any decline rule is fired, if no decline rule is fired but a refer rule is fired, will refer and if none of these then will accept to proceed to next call/action. For now only policy knock-out declines will be automated.</t>
  </si>
  <si>
    <t xml:space="preserve">If Call No = 1 AND C1.Policy Rules.Decision Category INCLUDES "DE" THEN Decision.Decision Category = "DE" 
ELSE IF C1.Policy Rules.Decision Category INCLUDES "RE"
THEN Decision.Decision Category = "RE" 
ELSE Decision.Decision Category = "AC" </t>
  </si>
  <si>
    <t>Accept (AC), Decline (DE) or Refer (RE)</t>
  </si>
  <si>
    <t>Various</t>
  </si>
  <si>
    <t>call2_decision</t>
  </si>
  <si>
    <t>There will be several knock-out, accept or refer rules will be fired with different order and decision category. This rule will decline if any decline rule is fired, if no decline rule is fired but a refer rule is fired, will refer and if none of these then will accept to proceed to next call/action. For now, all applications will be refered to credit officer review.</t>
  </si>
  <si>
    <t xml:space="preserve">If Call No = 2 AND C2.Policy Rules.Decision Category INCLUDES "DE" THEN Decision.Decision Category = "DE" 
ELSE IF C2.Policy Rules.Decision Category INCLUDES "RE"
THEN Decision.Decision Category = "RE" 
ELSE Decision.Decision Category = "AC" </t>
  </si>
  <si>
    <t>final_decision</t>
  </si>
  <si>
    <t>For the initial implementation, all applications will be refered to credit officer review as final decision. Hence decisions in C3.Policy Rules.Decision Category will be overriden with this simple rule. For now, all applications will be refered to credit officer review.</t>
  </si>
  <si>
    <t xml:space="preserve">If Call No = 3 AND C3.Policy Rules.Decision Category INCLUDES "DE" THEN Decision.Decision Category = "DE" 
ELSE IF C3.Policy Rules.Decision Category INCLUDES "RE"
THEN Decision.Decision Category = "RE" 
ELSE Decision.Decision Category = "AC" </t>
  </si>
  <si>
    <t>Logic:</t>
  </si>
  <si>
    <r>
      <rPr>
        <sz val="10"/>
        <color rgb="FF000000"/>
        <rFont val="Calibri"/>
      </rPr>
      <t xml:space="preserve">// Defines the customer's income based on Salary resources
If
Derived.SalaryIncome = Applicant.Documented Income,
else if
Verification Completed Flag = Y
SalaryIncome = </t>
    </r>
    <r>
      <rPr>
        <sz val="10"/>
        <color rgb="FFFF0000"/>
        <rFont val="Calibri"/>
      </rPr>
      <t xml:space="preserve">Verified Income
</t>
    </r>
    <r>
      <rPr>
        <sz val="10"/>
        <color rgb="FF000000"/>
        <rFont val="Calibri"/>
      </rPr>
      <t xml:space="preserve">else
Income Calculation.Calculated Monthly Net Income = Declared Income
</t>
    </r>
    <r>
      <rPr>
        <b/>
        <sz val="10"/>
        <color rgb="FF000000"/>
        <rFont val="Calibri"/>
      </rPr>
      <t xml:space="preserve">New version from Zeynep - 02.03.2023
</t>
    </r>
    <r>
      <rPr>
        <sz val="10"/>
        <color rgb="FF000000"/>
        <rFont val="Calibri"/>
      </rPr>
      <t>If Verification Completed Flag = Y
then
Income Calculation.Calculated Monthly Net Income = Verified Income
else if App.Income Document flag = Y
then 
Income Calculation.Calculated Monthly Net Income = Applicant.Documented Income,
else
Income Calculation.Calculated Monthly Net Income = Declared Income</t>
    </r>
  </si>
  <si>
    <t>open personal loans</t>
  </si>
  <si>
    <r>
      <rPr>
        <sz val="10"/>
        <color rgb="FF000000"/>
        <rFont val="Calibri"/>
      </rPr>
      <t xml:space="preserve">// Calculates customer's monthly debt
</t>
    </r>
    <r>
      <rPr>
        <sz val="10"/>
        <color rgb="FFFF0000"/>
        <rFont val="Calibri"/>
      </rPr>
      <t>Customer Total Monthly Debt</t>
    </r>
    <r>
      <rPr>
        <sz val="10"/>
        <color rgb="FF000000"/>
        <rFont val="Calibri"/>
      </rPr>
      <t xml:space="preserve"> = App.Total Open Loans Installment + (0.1 % of App.Total Credit Card Balance) + App.Total Loan Installment + (0.1 % of App.Total Open Card Balance)
New version from Zeynep - 02.03.2023
Derived Customer Total Monthly Debt = App.Total Loan Installment+ (0.1 % of App.Total Open Card Balance)
</t>
    </r>
  </si>
  <si>
    <t>Total credit card balance or open credit card balance</t>
  </si>
  <si>
    <t>// Calculates customer's disposable income
Income Calculation.Disposable Net Income = Income Calculation.Calculated Monthly Net Income - Customer Total Monthly Debt - Total Monthly Expenses</t>
  </si>
  <si>
    <t>// Calculates customer's debt burden
Limit Calculation.Debt Burden Ratio = (Customer Total Monthly Debt / Income Calculation.Calculated Monthly Net Income) * 100</t>
  </si>
  <si>
    <t>// Calculates customer's unsecured exposure
Limit Calculation.CustomerUnsecuredExposure = App.Total Personal Loans Balance Unsecured+App.Total Credit Cards Amount+App.Total Overdrafts Amount
'Derived_MUE_Availability = Limit Calculation.MaxCustomerUnsecuredExposure - Limit Calculation.CustomerUnsecuredExposure</t>
  </si>
  <si>
    <t>// Calculates customer's eligibility according to MIM
Derived_MIM_Availability = Derived_MIM x  Income Calculation.Calculated Monthly Net Income</t>
  </si>
  <si>
    <t>//Calculates eligible tenor
If Requested Loan Tenor &gt; LPA.Max tenor,
Limit Calculation.App.Suggested Tenor = LPA.Max tenor
Else if 
Requested Loan Tenor &lt; LPA.Min tenor
Limit Calculation.App.Suggested Tenor = LPA.Min tenor
Else 
Limit Calculation.App.Suggested Tenor = Requested Loan Tenor</t>
  </si>
  <si>
    <t>//Calculates interest rate
If 'Limit Calculation.App.Suggested Tenor = 12,
Derived.Interest Rate = Interest Rate for 12 months,
else if Limit Calculation.App.Suggested Tenor = 24,
Derived.Interest Rate = Interest Rate for 24 months,
else if Limit Calculation.App.Suggested Tenor = 36,
Derived.Interest Rate = Interest Rate for 36 months,
else 
Derived.Interest Rate = Interest Rate for 48 months.</t>
  </si>
  <si>
    <r>
      <rPr>
        <sz val="10"/>
        <color rgb="FF000000"/>
        <rFont val="Calibri"/>
      </rPr>
      <t xml:space="preserve">// Calculates customer's eligibility according to DB
// Calculate maximum installment amount using the maximum debt burden and customer's current debt burden
'Derived_DB_Availability = (Max Debt Burden.Max Debt Burden - Limit Calculation.Debt Burden Ratio) / Income Calculation.Calculated Monthly Net Income
// Calculate the maximum loan amount using maximum installment amount calculated above and using suggested tenor and pricing - PV - Present Value formula is used here.
</t>
    </r>
    <r>
      <rPr>
        <sz val="10"/>
        <color rgb="FFFF0000"/>
        <rFont val="Calibri"/>
      </rPr>
      <t xml:space="preserve">'Derived_DB_Availability = PV('Derived_DB_Availability,  'Limit Calculation.App.Suggested Tenor, Derived.Interest Rate)
</t>
    </r>
  </si>
  <si>
    <t>// Calculates suggested loan amount for the customer
Limit Calculation.App.Suggested Loan Amount = MIN( 'Derived_MUE_Availability,  Derived_DB_Availability, 'Derived_MIM_Availability, LPA.Max loan amount, Requested Loan Amount)
If Upsell flag = Y
'Limit Calculation.App.Suggested Loan Amount = MIN( 'Derived_MUE_Availability, Derived_DB_Availability, 'Derived_MIM_Availability, LPA.Max loan amount)</t>
  </si>
  <si>
    <t>// Determines if a verification is required
If (Documented Income &gt; 0 and Declared income &gt; Documented Income)
or If Rent &gt; 0 
Then 
Verification_decision flag = Y</t>
  </si>
  <si>
    <t>// Determines if a documentation is required
If Documentation Completed Flag = N
AND (
(Salary Tie-up Flag = Y and Declared income &gt; Salary Tie-up Amount * 1.2)
or
If (Documentation Type = SC and Declared income &gt; Documented income) 
need extra document (salary draft), 
if there are rent or interest income (or other) document needed
THEN
Documentation Decision.Decision = Y</t>
  </si>
  <si>
    <t>Deviation Decision</t>
  </si>
  <si>
    <t>// If application is being deviated, application should not be rejected with the same reason in the next call or the processing of the same call
Data Dictionary Sorted Decision Table and Sorted Reason codes array should be used to maintain this in each call for applications with Application Deviation flag = Y</t>
  </si>
  <si>
    <t>SAS ID UNSECURED LOAN ORIGINATIONS - DATA DICTIONARY</t>
  </si>
  <si>
    <t>Data Field Name</t>
  </si>
  <si>
    <t>Data Field Description</t>
  </si>
  <si>
    <t>Used in a Rule - Name</t>
  </si>
  <si>
    <t>SAS ID variable name</t>
  </si>
  <si>
    <t>Data Category</t>
  </si>
  <si>
    <t>Valid Values</t>
  </si>
  <si>
    <t>Default Value</t>
  </si>
  <si>
    <t>Format</t>
  </si>
  <si>
    <t>Lenght</t>
  </si>
  <si>
    <t>Precision</t>
  </si>
  <si>
    <t>Array Size</t>
  </si>
  <si>
    <t>Mapped / Calculated</t>
  </si>
  <si>
    <t>Batch / Online</t>
  </si>
  <si>
    <t>1.Service</t>
  </si>
  <si>
    <t>2.Service</t>
  </si>
  <si>
    <t>3. Service</t>
  </si>
  <si>
    <t>Application type</t>
  </si>
  <si>
    <t>In future there may be a pre-selection / pre-approval process and we may need to design a separate flow for such applications using this flag</t>
  </si>
  <si>
    <t>Application</t>
  </si>
  <si>
    <t>N:Normal, B: Batch, S: Speedy</t>
  </si>
  <si>
    <t>" "</t>
  </si>
  <si>
    <t>Alpha</t>
  </si>
  <si>
    <t>M</t>
  </si>
  <si>
    <t>O</t>
  </si>
  <si>
    <t>I</t>
  </si>
  <si>
    <t>No of Sub-applications</t>
  </si>
  <si>
    <t>In future, there may be bundle product offers and in one application form, customer may apply for both loan and card. In this case, this variable keeps number of products requested in a single application form.</t>
  </si>
  <si>
    <t>Numeric</t>
  </si>
  <si>
    <t>Channel</t>
  </si>
  <si>
    <t xml:space="preserve">Sales channel the application is received. </t>
  </si>
  <si>
    <t>Pls. refer to "Parameters" sheet</t>
  </si>
  <si>
    <t>Call No</t>
  </si>
  <si>
    <t>Decision engine call number</t>
  </si>
  <si>
    <t>CALL_ID</t>
  </si>
  <si>
    <t>1,2,3</t>
  </si>
  <si>
    <t>Country</t>
  </si>
  <si>
    <t>Country the application is received from</t>
  </si>
  <si>
    <t>ID Confirmation Flag</t>
  </si>
  <si>
    <t>Should be Y if customer's ID information is verified (KYC)</t>
  </si>
  <si>
    <t>Y/N</t>
  </si>
  <si>
    <t>ID non-confirmation reason</t>
  </si>
  <si>
    <t>If ID information cannot be verified, the reason code for this</t>
  </si>
  <si>
    <t>Should be the values kept in Core System</t>
  </si>
  <si>
    <t>Pre-approved flag</t>
  </si>
  <si>
    <t>In future, for a pre-approval process, if application is from a pre-approved list, this flag should be Y</t>
  </si>
  <si>
    <t>Random number generated by ID for challenger strategy development</t>
  </si>
  <si>
    <t>RANDOM_ID</t>
  </si>
  <si>
    <t>N/A</t>
  </si>
  <si>
    <t>Deviation flag</t>
  </si>
  <si>
    <t>If the application has been requested to be deviated on Core System. This flag should be on Core System screen and manually turned to Y in Core System.</t>
  </si>
  <si>
    <t>Deviation Reason Codes</t>
  </si>
  <si>
    <t>For applications where Deviation Flag = Y, Core System should send the decline reason codes from ID's previous calls (and or same call's previous call) in an array</t>
  </si>
  <si>
    <t>ID Reason codes and explanations will be provided after strategy setup. These codes will be kept in Core System and be converted to explanations to be displayed on Core System screen.</t>
  </si>
  <si>
    <t>Sorted Reason Codes1</t>
  </si>
  <si>
    <t>The array sent by ID in C1.Policy Rules.Sorted Reason Codes result field is sent back to ID. (If that call is processed more than once, the final status of the array should be sent)</t>
  </si>
  <si>
    <t>Sorted Decision Table1</t>
  </si>
  <si>
    <t>The array sent by ID in C1.Policy Rules.Sorted Decisions result field is sent back to ID. (If that call is processed more than once, the final status of the array should be sent)</t>
  </si>
  <si>
    <t>Sorted Reason Codes2</t>
  </si>
  <si>
    <t>The array sent by ID in C2.Policy Rules.Sorted Reason Codes result field is sent back to ID. (If that call is processed more than once, the final status of the array should be sent)</t>
  </si>
  <si>
    <t>Sorted Decision Table2</t>
  </si>
  <si>
    <t>The array sent by ID in C2.Policy Rules.Sorted Decisions result field is sent back to ID. (If that call is processed more than once, the final status of the array should be sent)</t>
  </si>
  <si>
    <t>Sorted Reason Codes3</t>
  </si>
  <si>
    <t>The array sent by ID in C3.Policy Rules.Sorted Reason Codes result field is sent back to ID. (If that call is processed more than once, the final status of the array should be sent)</t>
  </si>
  <si>
    <t>Sorted Decision Table3</t>
  </si>
  <si>
    <t>The array sent by ID in C3.Policy Rules.Sorted Decisions result field is sent back to ID. (If that call is processed more than once, the final status of the array should be sent)</t>
  </si>
  <si>
    <t>S_opinion</t>
  </si>
  <si>
    <t>Suspicious Opinion from Sales (KYC purposes) - Y if application is suspicious</t>
  </si>
  <si>
    <t>Permanent Residence Flag</t>
  </si>
  <si>
    <t>Customer is a permanent resident</t>
  </si>
  <si>
    <t>PERMANENT_RESIDENT_FLG</t>
  </si>
  <si>
    <t>Overtime flag</t>
  </si>
  <si>
    <t>If the application has received beyond working hours, this should be Y.</t>
  </si>
  <si>
    <t>App.ID_Document_Flag</t>
  </si>
  <si>
    <t>This will be Y if ID document is completed</t>
  </si>
  <si>
    <t>Individual Customer</t>
  </si>
  <si>
    <t>App.Address_Document_Flag</t>
  </si>
  <si>
    <t>This will be Y if Adress document is completed</t>
  </si>
  <si>
    <t>App.Foreigner_Document_Flag</t>
  </si>
  <si>
    <t>This will be Y if Foreigner document is completed</t>
  </si>
  <si>
    <t>App.Credit Bureau Completed Flag</t>
  </si>
  <si>
    <t>This will be Y if credit registry check is completed</t>
  </si>
  <si>
    <t>Derived.Random Number</t>
  </si>
  <si>
    <t>Calculated by ID and sent to Core System</t>
  </si>
  <si>
    <t>DERIVED_RANDOM_NUMBER</t>
  </si>
  <si>
    <t>ID Output</t>
  </si>
  <si>
    <t>ID</t>
  </si>
  <si>
    <t>Income Calculation.Calculated Monthly Net Income</t>
  </si>
  <si>
    <t>MONTHLY_NET_INCOME</t>
  </si>
  <si>
    <t>App.Income Document flag</t>
  </si>
  <si>
    <t>Y if income document is provided with application</t>
  </si>
  <si>
    <t>VERIFIED_DOCUMENT_INCOME_FLG</t>
  </si>
  <si>
    <t>App.Verification Completed Flag</t>
  </si>
  <si>
    <t>Y if verification is completed (Zeynep 02.03.2023)</t>
  </si>
  <si>
    <t>VERIFICATION_COMPLETED_FLG</t>
  </si>
  <si>
    <t>Income Calculation.Disposable Net Income</t>
  </si>
  <si>
    <t>DISPOSABLE_NET_INCOME</t>
  </si>
  <si>
    <t>App.Documented Income fx</t>
  </si>
  <si>
    <t>Currency of the income on the income document</t>
  </si>
  <si>
    <t>App.Other Income</t>
  </si>
  <si>
    <t>Other income (if any provided)</t>
  </si>
  <si>
    <t>OTHER_INCOME</t>
  </si>
  <si>
    <t>App.Other Income Fx</t>
  </si>
  <si>
    <t>Currency of other income (if any provided)</t>
  </si>
  <si>
    <t>App.Other Income Type</t>
  </si>
  <si>
    <t>Explanation / Type of the income stated as other (spouse income, rent income..etc)</t>
  </si>
  <si>
    <t>App.Other Income Duration</t>
  </si>
  <si>
    <t>Duration of the other income received (months)</t>
  </si>
  <si>
    <t>Max Debt Burden.Max Debt Burden</t>
  </si>
  <si>
    <t>MAX_DEBT_BURDEN</t>
  </si>
  <si>
    <t>App.Nationality</t>
  </si>
  <si>
    <t>Customer's nationality</t>
  </si>
  <si>
    <t>App.Citizenship No</t>
  </si>
  <si>
    <t>Cusomer's nationality number</t>
  </si>
  <si>
    <t>App.Tax Number</t>
  </si>
  <si>
    <t>Cusomer's tax number</t>
  </si>
  <si>
    <t>App.Business Adress City</t>
  </si>
  <si>
    <t>City of the customer's employer's address</t>
  </si>
  <si>
    <t>App.Business Adress Country</t>
  </si>
  <si>
    <t>Country of the customer's employer's address</t>
  </si>
  <si>
    <t>App.Education</t>
  </si>
  <si>
    <t>Customer's education level</t>
  </si>
  <si>
    <t>Limit Calculation.App.Suggested Loan Amount</t>
  </si>
  <si>
    <t>SUGGESTED_LOAN_AMOUNT</t>
  </si>
  <si>
    <t>App.Latest Residence Duration</t>
  </si>
  <si>
    <t>Duration the customer lived in latest house (in months)</t>
  </si>
  <si>
    <t>App.Latest Business Duration</t>
  </si>
  <si>
    <t>Duration the customer worked for latest employer (in months)</t>
  </si>
  <si>
    <t>Limit Calculation.Debt Burden Ratio</t>
  </si>
  <si>
    <t>Debt burden ratio calculated by ID</t>
  </si>
  <si>
    <t>DEBT_BURDEN_RATIO</t>
  </si>
  <si>
    <t>App.Gender</t>
  </si>
  <si>
    <t>Customer's gender</t>
  </si>
  <si>
    <t>App.Home Adress City</t>
  </si>
  <si>
    <t>City of the customer's home address</t>
  </si>
  <si>
    <t>App.Home Adress Country</t>
  </si>
  <si>
    <t>Country of the customer's home address</t>
  </si>
  <si>
    <t>App.VIP Flag</t>
  </si>
  <si>
    <t>Y if customer is VIP</t>
  </si>
  <si>
    <t>App.KEY Person</t>
  </si>
  <si>
    <t>Y if customer is KEY for some relation with Bank (someone having business relation with the bank)</t>
  </si>
  <si>
    <t>App.Marrital Status</t>
  </si>
  <si>
    <t>Marrital status of the customer</t>
  </si>
  <si>
    <t>App.Mobile Phone Number</t>
  </si>
  <si>
    <t>Mobile Phone Number</t>
  </si>
  <si>
    <t>App.Business Phone Area Code</t>
  </si>
  <si>
    <t>Business Phone Area Code</t>
  </si>
  <si>
    <t>App.Home Tel Area Code</t>
  </si>
  <si>
    <t>Home tel area code</t>
  </si>
  <si>
    <t>App.Occupation Code</t>
  </si>
  <si>
    <t>Occupation</t>
  </si>
  <si>
    <t>C</t>
  </si>
  <si>
    <t>App.Residence Type</t>
  </si>
  <si>
    <t>Ownership of the house</t>
  </si>
  <si>
    <t>App.Address Unique Number</t>
  </si>
  <si>
    <t>Address Unique Number</t>
  </si>
  <si>
    <t>App.Rent</t>
  </si>
  <si>
    <t>Rent amount (if customer states s/he has rental income)</t>
  </si>
  <si>
    <t>RENT_INCOME</t>
  </si>
  <si>
    <t>App.Business Residence Type</t>
  </si>
  <si>
    <t>Ownership of the work place (for sel-emploed, professionals, micro in future)</t>
  </si>
  <si>
    <t>Limit Calculation.CustomerUnsecuredExposure</t>
  </si>
  <si>
    <t>Customer MUE in bank calculated in ID</t>
  </si>
  <si>
    <t>UNSECURED_EXPOSURE</t>
  </si>
  <si>
    <t>App.No of Owned Cars</t>
  </si>
  <si>
    <t>Number of cars owned by the customer</t>
  </si>
  <si>
    <t>App.Total Deposit in Bank</t>
  </si>
  <si>
    <t>Total amount in Deposit accounts of the customer in Bank</t>
  </si>
  <si>
    <t>App.Avg Deposit Balance last6m</t>
  </si>
  <si>
    <t>Average balance amount for the last 6 months</t>
  </si>
  <si>
    <t>App.Avg Balance Statement last6m</t>
  </si>
  <si>
    <t>Average statement amount for the last 6 months</t>
  </si>
  <si>
    <t>App.Current Account Duration</t>
  </si>
  <si>
    <t>Total duration customer has a current account with bank (months)</t>
  </si>
  <si>
    <t>App.Total Savings in Bank</t>
  </si>
  <si>
    <t>Total amount in  Saving accounts of the customer in Bank</t>
  </si>
  <si>
    <t>App.Time till Deposit Maturity</t>
  </si>
  <si>
    <t>Total time (in months) until term deposit account maturity for the customer (the account with more number of months to maturity if there is more than one such account of the customer)</t>
  </si>
  <si>
    <t>App.Work Position</t>
  </si>
  <si>
    <t>Work Position of the Customer</t>
  </si>
  <si>
    <t>App.No of dependents</t>
  </si>
  <si>
    <t>No of dependents</t>
  </si>
  <si>
    <t>App.Salary Tie-up Flag</t>
  </si>
  <si>
    <t>Flag to show if customer is already a salary tie-up customer of the bank</t>
  </si>
  <si>
    <t>SALARY_TIE_UP_FLG</t>
  </si>
  <si>
    <t>App.Salary Tie-up Amount</t>
  </si>
  <si>
    <t>Salary of the Bank's salary tie-up customer</t>
  </si>
  <si>
    <t>SALARY_TIE_UP_AMOUNT</t>
  </si>
  <si>
    <t>Limit Calculation.MaxCustomerUnsecuredExposure</t>
  </si>
  <si>
    <t>Max Customer MUE allowed by policy</t>
  </si>
  <si>
    <t>MAX_UNSECURED_EXPOSURE</t>
  </si>
  <si>
    <t>C1.Policy Rules.Decision Category</t>
  </si>
  <si>
    <t>C1_DECISION_CATEGORY</t>
  </si>
  <si>
    <t>App.Predefined Company Flag</t>
  </si>
  <si>
    <t>Flag to show if customer is employed in a predefined company</t>
  </si>
  <si>
    <t>Risk Segmentation.Risk Segment</t>
  </si>
  <si>
    <t>RISK_SEGMENT</t>
  </si>
  <si>
    <t>C2.Policy Rules.Decision Category</t>
  </si>
  <si>
    <t>C2_DECISION_CATEGORY</t>
  </si>
  <si>
    <t>Requested Loan Amount Fx</t>
  </si>
  <si>
    <t>Currency of Requested Loan Amount</t>
  </si>
  <si>
    <t>Requested Product</t>
  </si>
  <si>
    <t>Requested Loan Tenor</t>
  </si>
  <si>
    <t>REQUESTED_LOAN_TENOR</t>
  </si>
  <si>
    <t>Requested Loan EMI</t>
  </si>
  <si>
    <t>Requested Loan EMI (equal monthly installment) - if asked?</t>
  </si>
  <si>
    <t>C3.LPA.Min loan amount</t>
  </si>
  <si>
    <t>C3_MIN_LOAN_AMOUNT</t>
  </si>
  <si>
    <t>Interest Rate for 12 months</t>
  </si>
  <si>
    <t>Shall we retrieve this as we can offer different tenor based on eligible amount?</t>
  </si>
  <si>
    <t>INTEREST_RATE_12</t>
  </si>
  <si>
    <t>Interest Rate for 18 months</t>
  </si>
  <si>
    <t>INTEREST_RATE_18</t>
  </si>
  <si>
    <t>Interest Rate for 24 months</t>
  </si>
  <si>
    <t>INTEREST_RATE_24</t>
  </si>
  <si>
    <t>Interest Rate for 36 months</t>
  </si>
  <si>
    <t>INTEREST_RATE_36</t>
  </si>
  <si>
    <t>Interest Rate for 48 months</t>
  </si>
  <si>
    <t>INTEREST_RATE_48</t>
  </si>
  <si>
    <t>Interest Rate for 60 months</t>
  </si>
  <si>
    <t>INTEREST_RATE_60</t>
  </si>
  <si>
    <t>C3.Policy Rules.Decision Category</t>
  </si>
  <si>
    <t>C3_DECISION_CATEGORY</t>
  </si>
  <si>
    <t>Loan purpose</t>
  </si>
  <si>
    <t>Loan Purpose (Parameter table)</t>
  </si>
  <si>
    <t>App.Bureau Response Number</t>
  </si>
  <si>
    <t>Unique number provided by Bureau for inquiry</t>
  </si>
  <si>
    <t>Individual Bureau</t>
  </si>
  <si>
    <t>Upsell Flag</t>
  </si>
  <si>
    <t>Customer is eligible for upsel or not</t>
  </si>
  <si>
    <t>Upsell_Flag</t>
  </si>
  <si>
    <t>UPSELL_FLG</t>
  </si>
  <si>
    <t>App.Bureau Customer Indebtness Index</t>
  </si>
  <si>
    <t>For future use</t>
  </si>
  <si>
    <t>App.Bureau ID</t>
  </si>
  <si>
    <t>App.Bureau Score</t>
  </si>
  <si>
    <t>App.Bureau Score Reason</t>
  </si>
  <si>
    <t>App.Bureau Not Scored Reason</t>
  </si>
  <si>
    <t>App.Bureau Score Version</t>
  </si>
  <si>
    <t>App.Total Non-Card Balance</t>
  </si>
  <si>
    <t>App.Max Duration Since Opening of an Open Card</t>
  </si>
  <si>
    <t>MAX_DUR_SINCE_CC_OPEN</t>
  </si>
  <si>
    <t>App.Total Revolving Balance</t>
  </si>
  <si>
    <t>App.Bureau Investigation Date Since</t>
  </si>
  <si>
    <t>Duration since latest inquiry for customer in credit registry</t>
  </si>
  <si>
    <t>BUREAU_INVESTIGATION_DATE_SINCE</t>
  </si>
  <si>
    <t>App.Revolving Balance Percent</t>
  </si>
  <si>
    <t>App.Total Balance of all Trades</t>
  </si>
  <si>
    <t>App.Total Open Card Limit</t>
  </si>
  <si>
    <t>App.No of Cards Always Current</t>
  </si>
  <si>
    <t>App.Total Open Card Balance</t>
  </si>
  <si>
    <t>TOTAL_OPEN_CARD_BALANCE</t>
  </si>
  <si>
    <t>App.No of Delinquent Trades in Last 12M</t>
  </si>
  <si>
    <t>App.No of Card Applications in Last 12M</t>
  </si>
  <si>
    <t>App.Total No of Payments</t>
  </si>
  <si>
    <t>App.Total No of Missed Payments</t>
  </si>
  <si>
    <t>App.Percentage of Missed Payments</t>
  </si>
  <si>
    <t>App.Card Utilization</t>
  </si>
  <si>
    <t>App.No Hit Flag</t>
  </si>
  <si>
    <t>App.NEV (Not Enough Vintage) Flag</t>
  </si>
  <si>
    <t>App.Current Worst Delinquency</t>
  </si>
  <si>
    <t>App.Vintage (Max Time on File Over Open Accts)</t>
  </si>
  <si>
    <t>App.Closed Trade Vintage</t>
  </si>
  <si>
    <t>App.Legal Follow-up Flag</t>
  </si>
  <si>
    <t>App.30plus in Last Mo</t>
  </si>
  <si>
    <t>LAST_MONTH_30</t>
  </si>
  <si>
    <t>App.90plus in Last 12M Flag</t>
  </si>
  <si>
    <t>App.Total Charge Off Last 12M</t>
  </si>
  <si>
    <t>App.Total Charge Off Balance Last 12M</t>
  </si>
  <si>
    <t>App.Total Charge Off Outstanding Last 12M</t>
  </si>
  <si>
    <t>App.Total Charge Off Last 24M</t>
  </si>
  <si>
    <t>App.Total Charge Off Balance Last 24M</t>
  </si>
  <si>
    <t>App.Total Charge Off Outstanding Last 24M</t>
  </si>
  <si>
    <t>App.Total Charge Off Last 36M</t>
  </si>
  <si>
    <t>NUM_CHARGE_OFF_36M</t>
  </si>
  <si>
    <t>App.Total Charge Off Balance Last 36M</t>
  </si>
  <si>
    <t>App.Total Charge Off Outstanding Last 36M</t>
  </si>
  <si>
    <t>App.No of Trades opened after last charge off</t>
  </si>
  <si>
    <t>App.Total No of Trades with 30plus</t>
  </si>
  <si>
    <t>App.Total No of Trades with 30plus Last 6M</t>
  </si>
  <si>
    <t>App.Total No of Trades with 60plus</t>
  </si>
  <si>
    <t>App.Total Balance with 30plus</t>
  </si>
  <si>
    <t>App.Total Balance with 30plus Last 6M</t>
  </si>
  <si>
    <t>App.Total Balance with 60plus</t>
  </si>
  <si>
    <t>App.No of Delinquent Trades in LastM</t>
  </si>
  <si>
    <t>App.No of Card Applications in Last 3M</t>
  </si>
  <si>
    <t>App.No of Credit Account Opened in Last 12M</t>
  </si>
  <si>
    <t>App.WPS Ever Loan Accounts</t>
  </si>
  <si>
    <t xml:space="preserve">App.No of Cards Ever Opened </t>
  </si>
  <si>
    <t>App.Max Card Balance</t>
  </si>
  <si>
    <t>App.Max Card Balance Current</t>
  </si>
  <si>
    <t>App.Max Duration Since Opening of a Card</t>
  </si>
  <si>
    <t>App.Min Duration Since Opening of a Card</t>
  </si>
  <si>
    <t>App.Max Card Limit</t>
  </si>
  <si>
    <t>App.Max Card Limit with Vintage 6 M</t>
  </si>
  <si>
    <t>App.Max Card Limit with Vintage 9 M</t>
  </si>
  <si>
    <t>App.Max Card Limit with Vintage 12 M</t>
  </si>
  <si>
    <t>App.Total Card Limit</t>
  </si>
  <si>
    <t>App.Max Card Limit with Vintage 24 M</t>
  </si>
  <si>
    <t>App.Max Card Limit with Vintage 12-23 M</t>
  </si>
  <si>
    <t>App.Max Card Limit with Vintage 0-12 M</t>
  </si>
  <si>
    <t>App.Total Card Limit with Vintage 12-24 M</t>
  </si>
  <si>
    <t>App.Total Card Limit with Vintage 0-12 M</t>
  </si>
  <si>
    <t>App.Months Since Last Card Inquiry</t>
  </si>
  <si>
    <t>App.No of Current Cards</t>
  </si>
  <si>
    <t>App.No of Card Inquiries in Last Mo</t>
  </si>
  <si>
    <t>App.No of Card Inquiries in Last 3M</t>
  </si>
  <si>
    <t>App.No of Card Inquiries in Last 6M</t>
  </si>
  <si>
    <t>App.No of Card Rejects in Last Mo</t>
  </si>
  <si>
    <t>App.No of Card Rejects in Last 3M</t>
  </si>
  <si>
    <t>App.No of Card Rejects in Last 6M</t>
  </si>
  <si>
    <t>App.No of Cards Revolving</t>
  </si>
  <si>
    <t>App.No of Open Cards</t>
  </si>
  <si>
    <t>App.No of Open Cards with Vintage 6M</t>
  </si>
  <si>
    <t>App.No of Open Cards with Vintage 12M</t>
  </si>
  <si>
    <t>App.No of Open Cards with 30plus</t>
  </si>
  <si>
    <t>App.No of Open Cards with 60plus</t>
  </si>
  <si>
    <t>App.No of Open Cards with 90plus</t>
  </si>
  <si>
    <t>App.Total Card Limit with Vintage 6 M</t>
  </si>
  <si>
    <t>App.Total Card Limit with Vintage 12 M</t>
  </si>
  <si>
    <t>App.Total Card Limit with Vintage 0-6 M</t>
  </si>
  <si>
    <t>App.Total Card Limit with Vintage 24plus M</t>
  </si>
  <si>
    <t>App.WPS (Worst Payment Status) Ever</t>
  </si>
  <si>
    <t>WPS_LIFETIME</t>
  </si>
  <si>
    <t>App.WPS Card Last 3M</t>
  </si>
  <si>
    <t>App.WPS Card Last 6M</t>
  </si>
  <si>
    <t>App.WPS Card Current</t>
  </si>
  <si>
    <t>App.WPS Ever Card</t>
  </si>
  <si>
    <t xml:space="preserve">App.No of Closed Cards </t>
  </si>
  <si>
    <t>App.No of Closed Cards Last 6M</t>
  </si>
  <si>
    <t>App.No of Closed Cards Last 3M</t>
  </si>
  <si>
    <t>App.No of Closed Cards Last Mo</t>
  </si>
  <si>
    <t>App.Total Loan Balance</t>
  </si>
  <si>
    <t>App.Total Loan Balance with vintage less than 6M</t>
  </si>
  <si>
    <t>App.Total Loan Balance with vintage 6M</t>
  </si>
  <si>
    <t>App.Max Loan Balance</t>
  </si>
  <si>
    <t>App.Total Loan Original Amount</t>
  </si>
  <si>
    <t>App.Max Loan Original Amount</t>
  </si>
  <si>
    <t>App.Total LoanOriginal Amount with vintage 6M</t>
  </si>
  <si>
    <t>App.Total LoanOriginal Amount with vintage 12M</t>
  </si>
  <si>
    <t>App.WPS Card Last 12M</t>
  </si>
  <si>
    <t>IB_WPS_CARD_LAST_12M</t>
  </si>
  <si>
    <t>App.Total Loan Installment with vintage 6M</t>
  </si>
  <si>
    <t>App.Total Loan Installment with vintage 12M</t>
  </si>
  <si>
    <t>App.Max Loan Original Amount with vintage 6M</t>
  </si>
  <si>
    <t>App.Max Loan Original Amount with vintage 12M</t>
  </si>
  <si>
    <t>App.Max Loan Original Amount with vintage 24M</t>
  </si>
  <si>
    <t>App.Max Loan Installment</t>
  </si>
  <si>
    <t>App.Max Loan Installment with vintage 6M</t>
  </si>
  <si>
    <t>App.Max Loan Installment with vintage 12M</t>
  </si>
  <si>
    <t>App.No of Loans Ever Opened</t>
  </si>
  <si>
    <t>App.No of Loans Current</t>
  </si>
  <si>
    <t>App.No of Loans Always Current</t>
  </si>
  <si>
    <t>App.No of Loan Inquiries</t>
  </si>
  <si>
    <t>App.No of Loan Inquiries in Last 3M</t>
  </si>
  <si>
    <t>App.No of Loan Inquiries in Last 6M</t>
  </si>
  <si>
    <t>App.No of Loan Inquiries in Last 12M</t>
  </si>
  <si>
    <t>App.No of Open Loans</t>
  </si>
  <si>
    <t>App.No of Open Loans with vintage 6M</t>
  </si>
  <si>
    <t>App.No of Open Loans with vintage 12M</t>
  </si>
  <si>
    <t>App.Max Duration Since Opening of a Loan</t>
  </si>
  <si>
    <t>App.Max Duration Since Opening of an Open Loan</t>
  </si>
  <si>
    <t>App.WPS Loan Last 3M</t>
  </si>
  <si>
    <t>App.WPS Loan Last 6M</t>
  </si>
  <si>
    <t>App.Total Loan Installment</t>
  </si>
  <si>
    <t>TOTAL_LOAN_INSTALLMENT</t>
  </si>
  <si>
    <t>App.WPS Loan Last Mo</t>
  </si>
  <si>
    <t>App.WPS Loan Ever</t>
  </si>
  <si>
    <t>App.No of Closed Loans</t>
  </si>
  <si>
    <t>App.No of Closed Loans in Last 6M</t>
  </si>
  <si>
    <t>App.Total Mortgage Balance</t>
  </si>
  <si>
    <t>App.Total Mortgage Balance with vintage less than 6M</t>
  </si>
  <si>
    <t>App.Total Mortgage Balance with vintage 6M</t>
  </si>
  <si>
    <t>App.Max Mortgage Balance</t>
  </si>
  <si>
    <t>App.Total Mortgage Original Amount</t>
  </si>
  <si>
    <t>App.Max Mortgage Original Amount</t>
  </si>
  <si>
    <t>App.Total MortgageOriginal Amount with vintage 6M</t>
  </si>
  <si>
    <t>App.Total MortgageOriginal Amount with vintage 12M</t>
  </si>
  <si>
    <t>App.Total Mortgage Installment</t>
  </si>
  <si>
    <t>App.Total Mortgage Installment with vintage 6M</t>
  </si>
  <si>
    <t>App.Total Mortgage Installment with vintage 12M</t>
  </si>
  <si>
    <t>App.Max Mortgage Original Amount with vintgae 6M</t>
  </si>
  <si>
    <t>App.Max Mortgage Original Amount with vintgae 12M</t>
  </si>
  <si>
    <t>App.Max Mortgage Original Amount with vintgae 24M</t>
  </si>
  <si>
    <t>App.Max Mortgage Installment</t>
  </si>
  <si>
    <t>App.Max Mortgage Installment with vintgae 6M</t>
  </si>
  <si>
    <t>App.Max Mortgage Installment with vintgae 12M</t>
  </si>
  <si>
    <t>App.No of Mortgages Ever Opened</t>
  </si>
  <si>
    <t>App.No of Mortgages Current</t>
  </si>
  <si>
    <t>App.No of Mortgages Always Current</t>
  </si>
  <si>
    <t>App.No of Mortgage Inquiries</t>
  </si>
  <si>
    <t>App.No of Mortgage Inquiries in Last 3M</t>
  </si>
  <si>
    <t>App.No of Mortgage Inquiries in Last 6M</t>
  </si>
  <si>
    <t>App.No of Mortgage Inquiries in Last 12M</t>
  </si>
  <si>
    <t>App.No of Open Mortgages</t>
  </si>
  <si>
    <t>App.No of Open Mortgages with vintage 6M</t>
  </si>
  <si>
    <t>App.No of Open Mortgages with vintage 12M</t>
  </si>
  <si>
    <t>App.Max Duration Since Opening of a Mortgage</t>
  </si>
  <si>
    <t>App.Max Duration Since Opening of an Open Mortgage</t>
  </si>
  <si>
    <t>App.WPS Mortgage Last 3M</t>
  </si>
  <si>
    <t>App.WPS Mortgage Last 6M</t>
  </si>
  <si>
    <t>App.WPS Loan Last 12M</t>
  </si>
  <si>
    <t>IB_WPS_LOAN_LAST_12M</t>
  </si>
  <si>
    <t>App.WPS Mortgage Last Mo</t>
  </si>
  <si>
    <t>App.WPS Mortgage Ever</t>
  </si>
  <si>
    <t>App.No of Closed Mortgages</t>
  </si>
  <si>
    <t>App.No of Closed Mortgages in Last 6M</t>
  </si>
  <si>
    <t>App.Total Overdraft Balance</t>
  </si>
  <si>
    <t>App.Max Overdraft Balance</t>
  </si>
  <si>
    <t>App.Max Overdraft Limit</t>
  </si>
  <si>
    <t>App.Total Overdraft Limit</t>
  </si>
  <si>
    <t>App.Total Last Overdraft Payment</t>
  </si>
  <si>
    <t>App.Average Overdraft Payment Last 2M</t>
  </si>
  <si>
    <t>App.Max Overdraft Payment</t>
  </si>
  <si>
    <t>App.Overdraft Utilization</t>
  </si>
  <si>
    <t>App.No of Open Overdrafts</t>
  </si>
  <si>
    <t>App.No of Open Overdrafts in Last 6M</t>
  </si>
  <si>
    <t>App.No of closed Overdrafts</t>
  </si>
  <si>
    <t>App.No of closed Overdrafts in Last 6M</t>
  </si>
  <si>
    <t>App.WPS OD Ever</t>
  </si>
  <si>
    <t>App.WPS OD Current</t>
  </si>
  <si>
    <t>App.WPS OD Last 6M</t>
  </si>
  <si>
    <t>App.WPS Mortgage Last 12M</t>
  </si>
  <si>
    <t>IB_WPS_MORTGAGE_LAST_12M</t>
  </si>
  <si>
    <t>App.Max Last Payment</t>
  </si>
  <si>
    <t>App.Total Last Payment</t>
  </si>
  <si>
    <t>App.No of Current Trades</t>
  </si>
  <si>
    <t>App.No of Always Current Trades</t>
  </si>
  <si>
    <t>App.No of Charge-off Trades</t>
  </si>
  <si>
    <t>App.No of Delinuqent Trades Last 3M</t>
  </si>
  <si>
    <t>App.No of Delinuqent Trades Last 6M</t>
  </si>
  <si>
    <t>App.No of Ever 30plus Accounts</t>
  </si>
  <si>
    <t>App.No of Ever 60plus Accounts</t>
  </si>
  <si>
    <t>App.No of Ever 90plus Accounts</t>
  </si>
  <si>
    <t>App.Months Since Last Inquiry</t>
  </si>
  <si>
    <t>App.No of Inquiries</t>
  </si>
  <si>
    <t>App.No of Currently 30plus Trades</t>
  </si>
  <si>
    <t>App.No of Currently 60plus Trades</t>
  </si>
  <si>
    <t>App.No of Currently 90plus Trades</t>
  </si>
  <si>
    <t>App.No of Open Trades</t>
  </si>
  <si>
    <t>App.No of Trades Ever Opened</t>
  </si>
  <si>
    <t>App.No of Trades Opened in Last 3M</t>
  </si>
  <si>
    <t>App.No of Trades Opened in Last 6M</t>
  </si>
  <si>
    <t>App.Max Vintage</t>
  </si>
  <si>
    <t>App.WPS Last 12M</t>
  </si>
  <si>
    <t>App.WPS Last 3M</t>
  </si>
  <si>
    <t>App.WPS Last 6M</t>
  </si>
  <si>
    <t>App.WPS Current</t>
  </si>
  <si>
    <t>App.Total Auto Loan Balance</t>
  </si>
  <si>
    <t>App.Total Auto Loan Balance with vintage less than 6M</t>
  </si>
  <si>
    <t>App.Total Auto Loan Balance with vintage 6M</t>
  </si>
  <si>
    <t>App.Max Auto Loan Balance</t>
  </si>
  <si>
    <t>App.Total Auto Loan Original Amount</t>
  </si>
  <si>
    <t>App.Max Auto Loan Original Amount</t>
  </si>
  <si>
    <t>App.Total Auto LoanOriginal Amount with vintage 6M</t>
  </si>
  <si>
    <t>App.Total Auto LoanOriginal Amount with vintage 12M</t>
  </si>
  <si>
    <t>App.Total Auto Loan Installment</t>
  </si>
  <si>
    <t>App.Total Auto Loan Installment with vintage 6M</t>
  </si>
  <si>
    <t>App.Total Auto Loan Installment with vintage 12M</t>
  </si>
  <si>
    <t>App.Max Auto Loan Original Amount with vintgae 6M</t>
  </si>
  <si>
    <t>App.Max Auto Loan Original Amount with vintgae 12M</t>
  </si>
  <si>
    <t>App.Max Auto Loan Original Amount with vintgae 24M</t>
  </si>
  <si>
    <t>App.Max Auto Loan Installment</t>
  </si>
  <si>
    <t>App.Max Auto Loan Installment with vintgae 6M</t>
  </si>
  <si>
    <t>App.Max Auto Loan Installment with vintgae 12M</t>
  </si>
  <si>
    <t>App.No of Auto Loans Ever Opened</t>
  </si>
  <si>
    <t>App.No of Auto Loans Current</t>
  </si>
  <si>
    <t>App.No of Auto Loans Always Current</t>
  </si>
  <si>
    <t>App.No of Auto Loan Inquiries</t>
  </si>
  <si>
    <t>App.No of Auto Loan Inquiries in Last 3M</t>
  </si>
  <si>
    <t>App.No of Auto Loan Inquiries in Last 6M</t>
  </si>
  <si>
    <t>App.No of Auto Loan Inquiries in Last 12M</t>
  </si>
  <si>
    <t>App.No of Open Auto Loans</t>
  </si>
  <si>
    <t>App.No of Open Auto Loans with vintage 6M</t>
  </si>
  <si>
    <t>App.No of Open Auto Loans with vintage 12M</t>
  </si>
  <si>
    <t>App.Max Duration Since Opening of a Auto Loan</t>
  </si>
  <si>
    <t>App.Max Duration Since Opening of an Open Auto Loan</t>
  </si>
  <si>
    <t>App.WPS Auto Loan Last 3M</t>
  </si>
  <si>
    <t>App.WPS Auto Loan Last 6M</t>
  </si>
  <si>
    <t>App.WPS OD Last 12M</t>
  </si>
  <si>
    <t>IB_WPS_OD_LAST_12M</t>
  </si>
  <si>
    <t>App.WPS Auto Loan Last Mo</t>
  </si>
  <si>
    <t>App.WPS Auto Loan Ever</t>
  </si>
  <si>
    <t>App.No of Closed Auto Loans</t>
  </si>
  <si>
    <t>App.No of Closed Auto Loans in Last 6M</t>
  </si>
  <si>
    <t>App.Total Revolving Balance Open</t>
  </si>
  <si>
    <t>App.Total Non-Card Balance 2</t>
  </si>
  <si>
    <t>App.Total Installment Amount of open loans (personal loans) with remaining number of instalments less than 6</t>
  </si>
  <si>
    <t>App.Total Installment Amount of open loans (auto loans) with remaining number of instalments less than 6</t>
  </si>
  <si>
    <t>App.Total Installment Amount of open loans (mortgages) with remaining number of instalments less than 6</t>
  </si>
  <si>
    <t>App.Total Installment Amount of open loans (personal loans) with remaining number of instalments less than 3</t>
  </si>
  <si>
    <t>App.Total Installment Amount of open loans (auto loans) with remaining number of instalments less than 3</t>
  </si>
  <si>
    <t>App.Total Installment Amount of open loans (mortgages) with remaining number of instalments less than 3</t>
  </si>
  <si>
    <t>App.Total Delinquent Amount of Personal Loans</t>
  </si>
  <si>
    <t>App.Total Delinquent Amount of Auto Loans</t>
  </si>
  <si>
    <t>App.Total Delinquent Amount of Mortgages</t>
  </si>
  <si>
    <t>App.Total Delinquent Amount of Credit Cards</t>
  </si>
  <si>
    <t>App.Total Delinquent Amount of Overdrafts</t>
  </si>
  <si>
    <t>App.Total Last Credit Card Payment</t>
  </si>
  <si>
    <t>App.Average Credit Card Payment Last 2M</t>
  </si>
  <si>
    <t>App.Max Credit Card Payment</t>
  </si>
  <si>
    <t>App.Total Last Personal Loans Payment</t>
  </si>
  <si>
    <t>App.Average Personal Loans Payment Last 2M</t>
  </si>
  <si>
    <t>App.Max Personal Loans Payment</t>
  </si>
  <si>
    <t>App.Total Last Auto Loans Payment</t>
  </si>
  <si>
    <t>App.Average Auto Loans Payment Last 2M</t>
  </si>
  <si>
    <t>App.Max Auto Loans Payment</t>
  </si>
  <si>
    <t>App.Total Last Mortgages Payment</t>
  </si>
  <si>
    <t>App.Average Mortgages Payment Last 2M</t>
  </si>
  <si>
    <t>App.Max Mortgages Payment</t>
  </si>
  <si>
    <t>App.Total Delinquent Amount of Trades where customer is guarantor</t>
  </si>
  <si>
    <t>App.WPS Ever where customer is guarantor</t>
  </si>
  <si>
    <t>App.Current worst delinquency where customer is guarantor</t>
  </si>
  <si>
    <t>App.Total No of Inquiries Last Mo</t>
  </si>
  <si>
    <t>App.Total No of Inquiries Last 3M</t>
  </si>
  <si>
    <t>App.Total No of Inquiries Last 6M</t>
  </si>
  <si>
    <t>App.No of Rejected Applications (all trades) in Last Mo</t>
  </si>
  <si>
    <t>App.No of Rejected Applications (all trades) in Last 3M</t>
  </si>
  <si>
    <t>App.No of Rejected Applications (all trades) in Last 6M</t>
  </si>
  <si>
    <t>App.No of Rejected Applications (all trades) in Last 12M</t>
  </si>
  <si>
    <t>App.No of Undecisioned Applications (all trades) in Last Mo</t>
  </si>
  <si>
    <t>App.No of Undecisioned Applications (all trades) in Last 3M</t>
  </si>
  <si>
    <t>App.No of Undecisioned Applications (all trades) in Last 6M</t>
  </si>
  <si>
    <t>App.No of Undecisioned Applications (all trades) in Last 12M</t>
  </si>
  <si>
    <t>App.Max Legal Follow-up Amount in Last 3 Years</t>
  </si>
  <si>
    <t>App.No of Non-closed Legal Follow-up Accounts with min 10,000 AL Balance in Last 3M</t>
  </si>
  <si>
    <t>App.No of Delinquent Trades with status 3 in last 3 months</t>
  </si>
  <si>
    <t>App.Duration Since Latest Legal Follow-up Date</t>
  </si>
  <si>
    <t>App.Max Card Limit of Open Cards with vintage 24plusM</t>
  </si>
  <si>
    <t>App.Total Card Limit of Open Cards with vintage 12-23M</t>
  </si>
  <si>
    <t>App.Total Card Limit of Open Cards with vintage  0-12M</t>
  </si>
  <si>
    <t>App.Bureau Adress Inconsistency Flag</t>
  </si>
  <si>
    <t>App.Phone no inconsistent flag</t>
  </si>
  <si>
    <t>App.WPS Auto Loan Last 12M</t>
  </si>
  <si>
    <t>IB_WPS_AUTO_LOAN_LAST_12M</t>
  </si>
  <si>
    <t xml:space="preserve">App.No of Open Legal Accts Last 36M </t>
  </si>
  <si>
    <t xml:space="preserve">App.No of Closed Legal Accts Last 36M </t>
  </si>
  <si>
    <t xml:space="preserve">App.No of Charged Off Legal Accts Last 36M </t>
  </si>
  <si>
    <t>App.No of Closed Legal Accts Last 36M in 3M</t>
  </si>
  <si>
    <t>App.No of Closed Legal Accts Last 36M more than 3M</t>
  </si>
  <si>
    <t xml:space="preserve">App.Balance of Open Legal Accts Last 36M </t>
  </si>
  <si>
    <t xml:space="preserve">App.Balance of Closed Legal Accts Last 36M </t>
  </si>
  <si>
    <t xml:space="preserve">App.Balance of Charged Off Legal Accts Last 36M </t>
  </si>
  <si>
    <t>App.Balance of Closed Legal Accts Last 36M in 3M</t>
  </si>
  <si>
    <t>App.Balance of Closed Legal Accts Last 36M more than 3M</t>
  </si>
  <si>
    <t>App.Existing customer flag</t>
  </si>
  <si>
    <t>If the applicant information is found to be a match with existing customer database of Bank, this flag should be Y</t>
  </si>
  <si>
    <t>EXISTING_CUSTOMER</t>
  </si>
  <si>
    <t>Internal Bureau</t>
  </si>
  <si>
    <t>B</t>
  </si>
  <si>
    <t>App.Adress inconsistent flag</t>
  </si>
  <si>
    <t>Home city inconsistency flag</t>
  </si>
  <si>
    <t>App.Fraud List Flag</t>
  </si>
  <si>
    <t>Y if any match with existing fraud list</t>
  </si>
  <si>
    <t>Fraud_Flg (Credit_Bureau_Detail Table)</t>
  </si>
  <si>
    <t>App.Fraud List Reason Code</t>
  </si>
  <si>
    <t>Reason for fraud (for matching record)</t>
  </si>
  <si>
    <t>App.Last approved limit</t>
  </si>
  <si>
    <t>Previously calculated total limit for that customer</t>
  </si>
  <si>
    <t>App.Latest Reject Reason</t>
  </si>
  <si>
    <t>Reject reason of the latest rejected application</t>
  </si>
  <si>
    <t>ID Reason codes</t>
  </si>
  <si>
    <t>App.Last 3 Months No of Rejects with given reasons</t>
  </si>
  <si>
    <t>Some significant decline reasons will be defined (such as fraud, legal) and number of rejeceted applications with these reasons in last 3 months will be provided</t>
  </si>
  <si>
    <t>App.Last 3 Months No of Rejects</t>
  </si>
  <si>
    <t>Number of applications rejected in last 3 months</t>
  </si>
  <si>
    <t>App.In Process Application Flag</t>
  </si>
  <si>
    <t>Yes if there is another application of the same customer in progress</t>
  </si>
  <si>
    <t>Core System system status code</t>
  </si>
  <si>
    <t>App.In Process Application Loan Amount</t>
  </si>
  <si>
    <t>If application is approved, approved loan amount, if in-progress, requested loan amount</t>
  </si>
  <si>
    <t>App.In Process Application-Previous Loan Inconsistency - Education</t>
  </si>
  <si>
    <t>Scanning all applications of the customer in last 12 months, latest education information in the application not matching with this one</t>
  </si>
  <si>
    <t>App.In Process Application-Previous Loan Inconsistency - Income</t>
  </si>
  <si>
    <t>Scanning all applications of the customer in last 12 months, latest income in the application not matching with this one (more than 20%)</t>
  </si>
  <si>
    <t>App.In Process Application-Previous Loan Inconsistency - Employment Type</t>
  </si>
  <si>
    <t>Scanning all applications of the customer in last 12 months, latest employment type information in the application not matching with this one</t>
  </si>
  <si>
    <t>App.In Process Application-Previous Loan Inconsistency - Occupation</t>
  </si>
  <si>
    <t>Scanning all applications of the customer in last 12 months, latest occupation information in the application not matching with this one</t>
  </si>
  <si>
    <t>App.In Process Application-Previous Loan Inconsistency - Title</t>
  </si>
  <si>
    <t>Scanning all applications of the customer in last 12 months, latest job titleinformation in the application not matching with this one</t>
  </si>
  <si>
    <t>App.In Process Application-Previous Loan Inconsistency - Phone Number</t>
  </si>
  <si>
    <t>Scanning all applications of the customer in last 12 months, latest phone number information in the application not matching with this one</t>
  </si>
  <si>
    <t>App.Behavior Scorecard ID</t>
  </si>
  <si>
    <t>Behavior score ID</t>
  </si>
  <si>
    <t>App.Behaviour Score</t>
  </si>
  <si>
    <t>Behavior score</t>
  </si>
  <si>
    <t>BEHAVIOUR_SCORE</t>
  </si>
  <si>
    <t>App.Risk Level</t>
  </si>
  <si>
    <t>Customer risk level</t>
  </si>
  <si>
    <t>H: High, M: Medium, L: Low</t>
  </si>
  <si>
    <t>App.Collection Scorecard ID</t>
  </si>
  <si>
    <t>Collection Score ID</t>
  </si>
  <si>
    <t>App.Collection Score</t>
  </si>
  <si>
    <t>Collection Score</t>
  </si>
  <si>
    <t>App.Collection Risk Level</t>
  </si>
  <si>
    <t>Collection Risk level</t>
  </si>
  <si>
    <t xml:space="preserve">App.Latest used income </t>
  </si>
  <si>
    <t>Income information in the latest approved credit account of the customer</t>
  </si>
  <si>
    <t>App.Latest used income Type</t>
  </si>
  <si>
    <t>Income type in the latest approved credit account of the customer</t>
  </si>
  <si>
    <t>App.Latest used income date Since</t>
  </si>
  <si>
    <t>Duration between today and the approve date of latest approved credit account of the customer (belonging to that income)</t>
  </si>
  <si>
    <t>App.Product Type (1-10)</t>
  </si>
  <si>
    <t>Credit Product Type for the latest 10 credit accounts</t>
  </si>
  <si>
    <t>App.Total Personal Loans No</t>
  </si>
  <si>
    <t>Total number of loan accounts</t>
  </si>
  <si>
    <t>App.Personal Loans Secured Flag</t>
  </si>
  <si>
    <t>This flag should be yes if any of the customer's open personal loans is secured/collateralized</t>
  </si>
  <si>
    <t>App.Total Personal Loans Amount</t>
  </si>
  <si>
    <t>Total original loan amount of customer's existing loan accounts (open)</t>
  </si>
  <si>
    <t>App.Highest Personal Loan Amount</t>
  </si>
  <si>
    <t>Maximum original loan amount of customer's existing loan accounts (open or closed)</t>
  </si>
  <si>
    <t>App.Total Open personal loans No</t>
  </si>
  <si>
    <t>Total number of open loan accounts</t>
  </si>
  <si>
    <t>App.Total Open personal loans Balance</t>
  </si>
  <si>
    <t>Total outstanding balance of open loan accounts</t>
  </si>
  <si>
    <t>App.Total Personal Loans Balance Unsecured</t>
  </si>
  <si>
    <t>Total loan balance of customer's existing noncollateralized loan accounts</t>
  </si>
  <si>
    <t>TOTAL_PERS_LOANS_BAL_UNSECURE</t>
  </si>
  <si>
    <t>App.Total Personal Loans Balance Secured</t>
  </si>
  <si>
    <t>Total original loan amount of customer's existing collateralized loan accounts</t>
  </si>
  <si>
    <t>App.Declared Income</t>
  </si>
  <si>
    <t>Customer declared income</t>
  </si>
  <si>
    <t>Declared Income</t>
  </si>
  <si>
    <t>DECLARED_INCOME</t>
  </si>
  <si>
    <t>App.Total Open personal loans Max Remaining Months</t>
  </si>
  <si>
    <t>Maximum of the number of remaining months of open loans</t>
  </si>
  <si>
    <t>App.Total Open personal loans Paid Installment Number</t>
  </si>
  <si>
    <t>Number of installments customer made a payment over all open loan accounts</t>
  </si>
  <si>
    <t>App.Total Open personal loans No Guarantor</t>
  </si>
  <si>
    <t>Number of open loans where applicant is a guarantor</t>
  </si>
  <si>
    <t>App.Total Open personal loans Balance Guarantor</t>
  </si>
  <si>
    <t>Total outstanding balance of open loans where applicant is a guarantor</t>
  </si>
  <si>
    <t>App.Total Personal Loans Balance Unsecured Guarantor</t>
  </si>
  <si>
    <t>Total loan balance of customer's existing noncollateralized loan accounts  where applicant is a guarantor</t>
  </si>
  <si>
    <t>App.Total Personal Loans Balance Secured Guarantor</t>
  </si>
  <si>
    <t>Total original loan amount of customer's existing collateralized loan accounts  where applicant is a guarantor</t>
  </si>
  <si>
    <t>App.Total Open personal loans Installment Guarantor</t>
  </si>
  <si>
    <t>Total installment amount of open loans where applicant is a guarantor</t>
  </si>
  <si>
    <t>App.Total Open personal loans Current WPS Guarantor</t>
  </si>
  <si>
    <t>Current worst payment status of the open loans where applicant is a guarantor</t>
  </si>
  <si>
    <t>App.Total Open personal loans Last6mos WPS Guarantor</t>
  </si>
  <si>
    <t>Worst payment status in last 6 months of the open loans where applicant is a guarantor</t>
  </si>
  <si>
    <t>App.Current x dpd balance of personal loans</t>
  </si>
  <si>
    <t>Total outstanding balance of open loans with 1-30 dpd</t>
  </si>
  <si>
    <t>App.Current 30 dpd balance of personal loans</t>
  </si>
  <si>
    <t>Total outstanding balance of open loans with 31-60 dpd</t>
  </si>
  <si>
    <t>App.Current 60 dpd balance of personal loans</t>
  </si>
  <si>
    <t>Total outstanding balance of open loans with 61-90 dpd</t>
  </si>
  <si>
    <t>App.Current x dpd number of personal loans</t>
  </si>
  <si>
    <t>Number of open loans with 1-30 dpd</t>
  </si>
  <si>
    <t>App.Declared Income fx</t>
  </si>
  <si>
    <t>Currency of the monthly net income</t>
  </si>
  <si>
    <t>Monthly income</t>
  </si>
  <si>
    <t>MONTHLY_INCOME_CURRENCY</t>
  </si>
  <si>
    <t>App.Current 60 dpd number of personal loans</t>
  </si>
  <si>
    <t>Number of open loans with 61-90 dpd</t>
  </si>
  <si>
    <t>App.First Bank Personal Loan Open Duration</t>
  </si>
  <si>
    <t>Duration since opening of the first Bank loan for the applicant</t>
  </si>
  <si>
    <t>App.Latest Bank Personal Loan Close Duration</t>
  </si>
  <si>
    <t>Duration since closure of the latest Bank loan for the applicant</t>
  </si>
  <si>
    <t>App.Current worst dpd for Personal Loan</t>
  </si>
  <si>
    <t>Highest number of days past due (dpd) over the open loans</t>
  </si>
  <si>
    <t>App.No personal loans Under Legal</t>
  </si>
  <si>
    <t>Number of accounts under legal follow up</t>
  </si>
  <si>
    <t>App.Latest Legal Duration of personal loans</t>
  </si>
  <si>
    <t>Duration since the latest account sent in legal follow up</t>
  </si>
  <si>
    <t>App.Total Legal Balance of personal loans</t>
  </si>
  <si>
    <t>Total balance under legal follow up</t>
  </si>
  <si>
    <t>App.WPS ever of personal loans</t>
  </si>
  <si>
    <t>Worst payment status ever over all loans</t>
  </si>
  <si>
    <t>App.Approved not Disbursed personal loans No</t>
  </si>
  <si>
    <t>Number of loans approved but not disbursed</t>
  </si>
  <si>
    <t>App.Approved not Disbursed personal loans Amount</t>
  </si>
  <si>
    <t>Total amount of loans approved but not disbursed</t>
  </si>
  <si>
    <t>App.Approved not Disbursed personal loans No Guarantor</t>
  </si>
  <si>
    <t>Number of loans approved but not disbursed, where applicant is a guarantor</t>
  </si>
  <si>
    <t>App.Approved not Disbursed personal loans Amount Guarantor</t>
  </si>
  <si>
    <t>Total amount of loans approved but not disbursed, where applicant is a guarantor</t>
  </si>
  <si>
    <t>App.No of 30 dpd in last 3 month for open personal loans</t>
  </si>
  <si>
    <t>App.No of 30 dpd in last 3 month for open loans</t>
  </si>
  <si>
    <t>App.No of 30 dpd in last 6 months for open personal loans</t>
  </si>
  <si>
    <t>App.No of 30 dpd in last 6 months for open loans</t>
  </si>
  <si>
    <t>App.No of 30 dpd in last 12 months for open personal loans</t>
  </si>
  <si>
    <t>App.No of 30 dpd in last 12 months for open loans</t>
  </si>
  <si>
    <t>App.No of 30 dpd in last 3 month for all personal loans</t>
  </si>
  <si>
    <t>App.No of 30 dpd in last 3 month for all loans</t>
  </si>
  <si>
    <t>App.No of 30 dpd in last 6 months for all personal loans</t>
  </si>
  <si>
    <t>App.No of 30 dpd in last 6 months for all loans</t>
  </si>
  <si>
    <t>App.No of 30 dpd in last 12 months for all personal loans</t>
  </si>
  <si>
    <t>App.No of 30 dpd in last 12 months for all loans</t>
  </si>
  <si>
    <t>App.No of 60 dpd in last 3 month for open personal loans</t>
  </si>
  <si>
    <t>App.No of 60 dpd in last 3 month for open loans</t>
  </si>
  <si>
    <t>App.No of 60 dpd in last 6 months for open personal loans</t>
  </si>
  <si>
    <t>App.No of 60 dpd in last 6 months for open loans</t>
  </si>
  <si>
    <t>App.No of 60 dpd in last 12 months for open personal loans</t>
  </si>
  <si>
    <t>App.No of 60 dpd in last 12 months for open loans</t>
  </si>
  <si>
    <t>App.No of 60 dpd in last 3 month for all personal loans</t>
  </si>
  <si>
    <t>App.No of 60 dpd in last 3 month for all loans</t>
  </si>
  <si>
    <t>App.No of 60 dpd in last 6 months for all personal loans</t>
  </si>
  <si>
    <t>App.No of 60 dpd in last 6 months for all loans</t>
  </si>
  <si>
    <t>App.No of 60 dpd in last 12 months for all personal loans</t>
  </si>
  <si>
    <t>App.No of 60 dpd in last 12 months for all loans</t>
  </si>
  <si>
    <t>App.No of 90plus dpd in last 3 month for open personal loans</t>
  </si>
  <si>
    <t>App.No of 90plus dpd in last 3 month for open loans</t>
  </si>
  <si>
    <t>App.No of 90plus dpd in last 6 months for open personal loans</t>
  </si>
  <si>
    <t>App.No of 90plus dpd in last 6 months for open loans</t>
  </si>
  <si>
    <t>App.No of 90plus dpd in last 12 months for open personal loans</t>
  </si>
  <si>
    <t>App.No of 90plus dpd in last 12 months for open loans</t>
  </si>
  <si>
    <t>App.No of 90plus dpd in last 3 month for all personal loans</t>
  </si>
  <si>
    <t>App.No of 90plus dpd in last 3 month for all loans</t>
  </si>
  <si>
    <t>App.No of 90plus dpd in last 6 months for all personal loans</t>
  </si>
  <si>
    <t>App.No of 90plus dpd in last 6 months for all loans</t>
  </si>
  <si>
    <t>App.No of 90plus dpd in last 12 months for all personal loans</t>
  </si>
  <si>
    <t>App.No of 90plus dpd in last 12 months for all loans</t>
  </si>
  <si>
    <t>App.Worst delinquency in last 3M of personal loans</t>
  </si>
  <si>
    <t>Worst payment status in last 3 months</t>
  </si>
  <si>
    <t>App.Worst delinquency in last 6M of personal loans</t>
  </si>
  <si>
    <t>Worst payment status in last 6 months</t>
  </si>
  <si>
    <t>App.Worst delinquency in last 12M of personal loans</t>
  </si>
  <si>
    <t>Worst payment status in last 12 months</t>
  </si>
  <si>
    <t>App.Current 90plus dpd balance excl legal for personal loans</t>
  </si>
  <si>
    <t>Total balance of loans at 90+ dpd (excluding legal)</t>
  </si>
  <si>
    <t>App.Total Mortgage Loans No</t>
  </si>
  <si>
    <t>App.Total Mortgage Loans Amount</t>
  </si>
  <si>
    <t>Total original loan amount of customer's existing loan accounts (open or closed)</t>
  </si>
  <si>
    <t>App.Highest Mortgage Loan Amount</t>
  </si>
  <si>
    <t>App.Total Open Mortgage loans No</t>
  </si>
  <si>
    <t>App.Total Open Mortgage loans Balance</t>
  </si>
  <si>
    <t>App.Total Open Mortgage loans Installment</t>
  </si>
  <si>
    <t>Total installment amount of open loan accounts</t>
  </si>
  <si>
    <t>App.Total Open Mortgage loans Max Remaining Months</t>
  </si>
  <si>
    <t>App.Total Open Mortgage loans Paid Installment Number</t>
  </si>
  <si>
    <t>App.Total Open Mortgage loans No Guarantor</t>
  </si>
  <si>
    <t>App.Total Open Mortgage loans Balance Guarantor</t>
  </si>
  <si>
    <t>App.Total Open Mortgage loans Installment Guarantor</t>
  </si>
  <si>
    <t>App.Total Open Mortgage loans Current WPS Guarantor</t>
  </si>
  <si>
    <t>App.Total Open Mortgage loans Last6mos WPS Guarantor</t>
  </si>
  <si>
    <t>App.Current x dpd balance of Mortgage loans</t>
  </si>
  <si>
    <t>App.Current 30 dpd balance of Mortgage loans</t>
  </si>
  <si>
    <t>App.Current 60 dpd balance of Mortgage loans</t>
  </si>
  <si>
    <t>App.Current x dpd number of Mortgage loans</t>
  </si>
  <si>
    <t>App.Documented Income</t>
  </si>
  <si>
    <t>Income on the income document</t>
  </si>
  <si>
    <t>Applicant.Documented Income</t>
  </si>
  <si>
    <t>App.Current 60 dpd number of Mortgage loans</t>
  </si>
  <si>
    <t>App.First Bank Mortgage Loan Open Duration</t>
  </si>
  <si>
    <t>App.Latest Bank Mortgage Loan Close Duration</t>
  </si>
  <si>
    <t>App.Current worst dpd for Mortgage Loan</t>
  </si>
  <si>
    <t>App.No Mortgage loans Under Legal</t>
  </si>
  <si>
    <t>App.Latest Legal Duration of Mortgage loans</t>
  </si>
  <si>
    <t>App.Total Legal Balance of Mortgage loans</t>
  </si>
  <si>
    <t>App.WPS ever of Mortgage loans</t>
  </si>
  <si>
    <t>App.Approved not Disbursed Mortgage loans No</t>
  </si>
  <si>
    <t>App.Approved not Disbursed Mortgage loans Amount</t>
  </si>
  <si>
    <t>App.Approved not Disbursed Mortgage loans No Guarantor</t>
  </si>
  <si>
    <t>App.Approved not Disbursed Mortgage loans Amount Guarantor</t>
  </si>
  <si>
    <t>App.No of 30 dpd in last 3 month for open Mortgage loans</t>
  </si>
  <si>
    <t>App.No of 30 dpd in last 6 months for open Mortgage loans</t>
  </si>
  <si>
    <t>App.No of 30 dpd in last 12 months for open Mortgage loans</t>
  </si>
  <si>
    <t>App.No of 30 dpd in last 3 month for all Mortgage loans</t>
  </si>
  <si>
    <t>App.No of 30 dpd in last 6 months for all Mortgage loans</t>
  </si>
  <si>
    <t>App.No of 30 dpd in last 12 months for all Mortgage loans</t>
  </si>
  <si>
    <t>App.No of 60 dpd in last 3 month for open Mortgage loans</t>
  </si>
  <si>
    <t>App.No of 60 dpd in last 6 months for open Mortgage loans</t>
  </si>
  <si>
    <t>App.No of 60 dpd in last 12 months for open Mortgage loans</t>
  </si>
  <si>
    <t>App.No of 60 dpd in last 3 month for all Mortgage loans</t>
  </si>
  <si>
    <t>App.No of 60 dpd in last 6 months for all Mortgage loans</t>
  </si>
  <si>
    <t>App.No of 60 dpd in last 12 months for all Mortgage loans</t>
  </si>
  <si>
    <t>App.No of 90plus dpd in last 3 month for open Mortgage loans</t>
  </si>
  <si>
    <t>App.No of 90plus dpd in last 6 months for open Mortgage loans</t>
  </si>
  <si>
    <t>App.No of 90plus dpd in last 12 months for open Mortgage loans</t>
  </si>
  <si>
    <t>App.No of 90plus dpd in last 3 month for all Mortgage loans</t>
  </si>
  <si>
    <t>App.No of 90plus dpd in last 6 months for all Mortgage loans</t>
  </si>
  <si>
    <t>App.No of 90plus dpd in last 12 months for all Mortgage loans</t>
  </si>
  <si>
    <t>App.Worst delinquency in last 3M of Mortgage loans</t>
  </si>
  <si>
    <t>App.Worst delinquency in last 6M of Mortgage loans</t>
  </si>
  <si>
    <t>App.Worst delinquency in last 12M of Mortgage loans</t>
  </si>
  <si>
    <t>App.Current 90plus dpd balance excl legal for Mortgage loans</t>
  </si>
  <si>
    <t>App.Total Auto Loans No</t>
  </si>
  <si>
    <t>App.Total Auto Loans Amount</t>
  </si>
  <si>
    <t>App.Highest Auto Loan Amount</t>
  </si>
  <si>
    <t>App.Total Open Auto loans No</t>
  </si>
  <si>
    <t>App.Total Open Auto loans Balance</t>
  </si>
  <si>
    <t>App.Age</t>
  </si>
  <si>
    <t>Customer's age</t>
  </si>
  <si>
    <t>App.Total Open Auto loans Max Remaining Months</t>
  </si>
  <si>
    <t>App.Total Open Auto loans Paid Installment Number</t>
  </si>
  <si>
    <t>App.Total Open Auto loans No Guarantor</t>
  </si>
  <si>
    <t>App.Total Open Auto loans Balance Guarantor</t>
  </si>
  <si>
    <t>App.Total Open Auto loans Installment Guarantor</t>
  </si>
  <si>
    <t>App.Total Open Auto loans Current WPS Guarantor</t>
  </si>
  <si>
    <t>App.Total Open Auto loans Last6mos WPS Guarantor</t>
  </si>
  <si>
    <t>App.Current x dpd balance of Auto loans</t>
  </si>
  <si>
    <t>App.Current 30 dpd balance of Auto loans</t>
  </si>
  <si>
    <t>App.Current 60 dpd balance of Auto loans</t>
  </si>
  <si>
    <t>App.Current x dpd number of Auto loans</t>
  </si>
  <si>
    <t>App.Employment Type</t>
  </si>
  <si>
    <t>Customer's employment type</t>
  </si>
  <si>
    <t>App.Current 60 dpd number of Auto loans</t>
  </si>
  <si>
    <t>App.First Bank Auto Loan Open Duration</t>
  </si>
  <si>
    <t>App.Latest Bank Auto Loan Close Duration</t>
  </si>
  <si>
    <t>App.Current worst dpd for Auto Loan</t>
  </si>
  <si>
    <t>App.No Auto loans Under Legal</t>
  </si>
  <si>
    <t>App.Latest Legal Duration of Auto loans</t>
  </si>
  <si>
    <t>App.Total Legal Balance of Auto loans</t>
  </si>
  <si>
    <t>App.WPS ever of Auto loans</t>
  </si>
  <si>
    <t>App.Approved not Disbursed Auto loans No</t>
  </si>
  <si>
    <t>App.Approved not Disbursed Auto loans Amount</t>
  </si>
  <si>
    <t>App.Approved not Disbursed Auto loans No Guarantor</t>
  </si>
  <si>
    <t>App.Approved not Disbursed Auto loans Amount Guarantor</t>
  </si>
  <si>
    <t>App.No of 30 dpd in last 3 month for open Auto loans</t>
  </si>
  <si>
    <t>App.No of 30 dpd in last 6 months for open Auto loans</t>
  </si>
  <si>
    <t>App.No of 30 dpd in last 12 months for open Auto loans</t>
  </si>
  <si>
    <t>App.No of 30 dpd in last 3 month for all Auto loans</t>
  </si>
  <si>
    <t>App.No of 30 dpd in last 6 months for all Auto loans</t>
  </si>
  <si>
    <t>App.No of 30 dpd in last 12 months for all Auto loans</t>
  </si>
  <si>
    <t>App.No of 60 dpd in last 3 month for open Auto loans</t>
  </si>
  <si>
    <t>App.No of 60 dpd in last 6 months for open Auto loans</t>
  </si>
  <si>
    <t>App.No of 60 dpd in last 12 months for open Auto loans</t>
  </si>
  <si>
    <t>App.No of 60 dpd in last 3 month for all Auto loans</t>
  </si>
  <si>
    <t>App.No of 60 dpd in last 6 months for all Auto loans</t>
  </si>
  <si>
    <t>App.No of 60 dpd in last 12 months for all Auto loans</t>
  </si>
  <si>
    <t>App.No of 90plus dpd in last 3 month for open Auto loans</t>
  </si>
  <si>
    <t>App.No of 90plus dpd in last 6 months for open Auto loans</t>
  </si>
  <si>
    <t>App.No of 90plus dpd in last 12 months for open Auto loans</t>
  </si>
  <si>
    <t>App.No of 90plus dpd in last 3 month for all Auto loans</t>
  </si>
  <si>
    <t>App.No of 90plus dpd in last 6 months for all Auto loans</t>
  </si>
  <si>
    <t>App.No of 90plus dpd in last 12 months for all Auto loans</t>
  </si>
  <si>
    <t>App.Worst delinquency in last 3M of Auto loans</t>
  </si>
  <si>
    <t>App.Worst delinquency in last 6M of Auto loans</t>
  </si>
  <si>
    <t>App.Worst delinquency in last 12M of Auto loans</t>
  </si>
  <si>
    <t>App.Current 90plus dpd balance excl legal for Auto loans</t>
  </si>
  <si>
    <t>App.Total Credit Cards No</t>
  </si>
  <si>
    <t>Total number of card accounts</t>
  </si>
  <si>
    <t>App.Total Credit Cards Amount</t>
  </si>
  <si>
    <t>Total original card limit of customer's existing card accounts (open)</t>
  </si>
  <si>
    <t>TOTAL_CC_AMOUNT</t>
  </si>
  <si>
    <t>App.Highest Credit Card Limit</t>
  </si>
  <si>
    <t>Maximum original card amount of customer's existing card accounts (open or closed)</t>
  </si>
  <si>
    <t>App.Total Open Credit Cards No</t>
  </si>
  <si>
    <t>Total number of open card accounts</t>
  </si>
  <si>
    <t>App.Total Employment Duration</t>
  </si>
  <si>
    <t>Customer's total employment duration (in months)</t>
  </si>
  <si>
    <t>App.Total Open Credit Cards No Guarantor</t>
  </si>
  <si>
    <t>Number of open cards where applicant is a guarantor</t>
  </si>
  <si>
    <t>App.Total Open Credit Cards Balance Guarantor</t>
  </si>
  <si>
    <t>Total outstanding balance of open cards where applicant is a guarantor</t>
  </si>
  <si>
    <t>App.Total Open Credit Cards Current WPS Guarantor</t>
  </si>
  <si>
    <t>Current worst payment status of the open cards where applicant is a guarantor</t>
  </si>
  <si>
    <t>App.Total Open Credit Cards Last6mos WPS Guarantor</t>
  </si>
  <si>
    <t>Worst payment status in last 6 months of the open cards where applicant is a guarantor</t>
  </si>
  <si>
    <t>App.Current x dpd balance of Credit Cards</t>
  </si>
  <si>
    <t>Total outstanding balance of open cards with 1-30 dpd</t>
  </si>
  <si>
    <t>App.Current 30 dpd balance of Credit Cards</t>
  </si>
  <si>
    <t>Total outstanding balance of open cards with 31-60 dpd</t>
  </si>
  <si>
    <t>App.Current 60 dpd balance of Credit Cards</t>
  </si>
  <si>
    <t>Total outstanding balance of open cards with 61-90 dpd</t>
  </si>
  <si>
    <t>App.Current x dpd number of Credit Cards</t>
  </si>
  <si>
    <t>Number of open cards with 1-30 dpd</t>
  </si>
  <si>
    <t>App.E-mail Flag</t>
  </si>
  <si>
    <t>Y if e-mail is entered in application</t>
  </si>
  <si>
    <t>EMAIL_PROVIDED_FLG</t>
  </si>
  <si>
    <t>App.Current 60 dpd number of Credit Cards</t>
  </si>
  <si>
    <t>Number of open cards with 61-90 dpd</t>
  </si>
  <si>
    <t>App.First Bank Credit Cards Open Duration</t>
  </si>
  <si>
    <t>Duration since opening of the first Bank card for the applicant</t>
  </si>
  <si>
    <t>App.Latest Bank Credit Cards Close Duration</t>
  </si>
  <si>
    <t>Duration since closure of the latest Bank card for the applicant</t>
  </si>
  <si>
    <t>App.Current worst dpd for Credit Cards</t>
  </si>
  <si>
    <t>Highest number of days past due (dpd) over the open cards</t>
  </si>
  <si>
    <t>App.No Credit Cards Under Legal</t>
  </si>
  <si>
    <t>App.Latest Legal Duration of Credit Cards</t>
  </si>
  <si>
    <t>App.Total Legal Balance of Credit Cards</t>
  </si>
  <si>
    <t>App.WPS ever of Credit Cards</t>
  </si>
  <si>
    <t>Worst payment status ever over all cards</t>
  </si>
  <si>
    <t>App.No of 30 dpd in last 3 month for open Credit Cards</t>
  </si>
  <si>
    <t>App.No of 30 dpd in last 3 month for open cards</t>
  </si>
  <si>
    <t>App.No of 30 dpd in last 6 months for open Credit Cards</t>
  </si>
  <si>
    <t>App.No of 30 dpd in last 6 months for open cards</t>
  </si>
  <si>
    <t>App.No of 30 dpd in last 12 months for open Credit Cards</t>
  </si>
  <si>
    <t>App.No of 30 dpd in last 12 months for open cards</t>
  </si>
  <si>
    <t>App.No of 30 dpd in last 3 month for all Credit Cards</t>
  </si>
  <si>
    <t>App.No of 30 dpd in last 3 month for all cards</t>
  </si>
  <si>
    <t>App.No of 30 dpd in last 6 months for all Credit Cards</t>
  </si>
  <si>
    <t>App.No of 30 dpd in last 6 months for all cards</t>
  </si>
  <si>
    <t>App.No of 30 dpd in last 12 months for all Credit Cards</t>
  </si>
  <si>
    <t>App.No of 30 dpd in last 12 months for all cards</t>
  </si>
  <si>
    <t>App.No of 60 dpd in last 3 month for open Credit Cards</t>
  </si>
  <si>
    <t>App.No of 60 dpd in last 3 month for open cards</t>
  </si>
  <si>
    <t>App.No of 60 dpd in last 6 months for open Credit Cards</t>
  </si>
  <si>
    <t>App.No of 60 dpd in last 6 months for open cards</t>
  </si>
  <si>
    <t>App.No of 60 dpd in last 12 months for open Credit Cards</t>
  </si>
  <si>
    <t>App.No of 60 dpd in last 12 months for open cards</t>
  </si>
  <si>
    <t>App.No of 60 dpd in last 3 month for all Credit Cards</t>
  </si>
  <si>
    <t>App.No of 60 dpd in last 3 month for all cards</t>
  </si>
  <si>
    <t>App.No of 60 dpd in last 6 months for all Credit Cards</t>
  </si>
  <si>
    <t>App.No of 60 dpd in last 6 months for all cards</t>
  </si>
  <si>
    <t>App.No of 60 dpd in last 12 months for all Credit Cards</t>
  </si>
  <si>
    <t>App.No of 60 dpd in last 12 months for all cards</t>
  </si>
  <si>
    <t>App.No of 90plus dpd in last 3 month for open Credit Cards</t>
  </si>
  <si>
    <t>App.No of 90plus dpd in last 3 month for open cards</t>
  </si>
  <si>
    <t>App.No of 90plus dpd in last 6 months for open Credit Cards</t>
  </si>
  <si>
    <t>App.No of 90plus dpd in last 6 months for open cards</t>
  </si>
  <si>
    <t>App.No of 90plus dpd in last 12 months for open Credit Cards</t>
  </si>
  <si>
    <t>App.No of 90plus dpd in last 12 months for open cards</t>
  </si>
  <si>
    <t>App.No of 90plus dpd in last 3 month for all Credit Cards</t>
  </si>
  <si>
    <t>App.No of 90plus dpd in last 3 month for all cards</t>
  </si>
  <si>
    <t>App.No of 90plus dpd in last 6 months for all Credit Cards</t>
  </si>
  <si>
    <t>App.No of 90plus dpd in last 6 months for all cards</t>
  </si>
  <si>
    <t>App.No of 90plus dpd in last 12 months for all Credit Cards</t>
  </si>
  <si>
    <t>App.No of 90plus dpd in last 12 months for all cards</t>
  </si>
  <si>
    <t>App.Worst delinquency in last 3M of Credit Cards</t>
  </si>
  <si>
    <t>App.Worst delinquency in last 6M of Credit Cards</t>
  </si>
  <si>
    <t>App.Worst delinquency in last 12M of Credit Cards</t>
  </si>
  <si>
    <t>App.Current 90plus dpd balance excl legal for Credit Cards</t>
  </si>
  <si>
    <t>Total balance of cards at 90+ dpd (excluding legal)</t>
  </si>
  <si>
    <t>App.Total Overdrafts No</t>
  </si>
  <si>
    <t>Total number of overdraft accounts</t>
  </si>
  <si>
    <t>App.Total Overdrafts Amount</t>
  </si>
  <si>
    <t>Total original overdraft amount of customer's existing overdraft accounts (open)</t>
  </si>
  <si>
    <t>TOTAL_OVERDRAFTS_AMOUNT</t>
  </si>
  <si>
    <t>App.Highest Overdraft Limit</t>
  </si>
  <si>
    <t>Maximum original card amount of customer's existing overdraft accounts (open)</t>
  </si>
  <si>
    <t>App.Total Open Overdrafts No</t>
  </si>
  <si>
    <t>Total number of open overdraft accounts</t>
  </si>
  <si>
    <t>App.Total Open Overdrafts Balance</t>
  </si>
  <si>
    <t>Total outstanding balance of open overdraft accounts</t>
  </si>
  <si>
    <t>App.Total Open Overdrafts No Guarantor</t>
  </si>
  <si>
    <t>Number of open Overdrafts where applicant is a guarantor</t>
  </si>
  <si>
    <t>App.Total Open Overdrafts Balance Guarantor</t>
  </si>
  <si>
    <t>Total outstanding balance of open Overdrafts where applicant is a guarantor</t>
  </si>
  <si>
    <t>App.Total Open Overdrafts Current WPS Guarantor</t>
  </si>
  <si>
    <t>Current worst payment status of the open Overdrafts where applicant is a guarantor</t>
  </si>
  <si>
    <t>App.Total Open Overdrafts Last6mos WPS Guarantor</t>
  </si>
  <si>
    <t>Worst payment status in last 6 months of the open Overdrafts where applicant is a guarantor</t>
  </si>
  <si>
    <t>App.Current x dpd balance of Overdrafts</t>
  </si>
  <si>
    <t>Total outstanding balance of open Overdrafts with 1-30 dpd</t>
  </si>
  <si>
    <t>App.Current 30 dpd balance of Overdrafts</t>
  </si>
  <si>
    <t>Total outstanding balance of open Overdrafts with 31-60 dpd</t>
  </si>
  <si>
    <t>App.Current 60 dpd balance of Overdrafts</t>
  </si>
  <si>
    <t>Total outstanding balance of open Overdrafts with 61-90 dpd</t>
  </si>
  <si>
    <t>App.Current x dpd number of Overdrafts</t>
  </si>
  <si>
    <t>Number of open Overdrafts with 1-30 dpd</t>
  </si>
  <si>
    <t>App.Total Expenses</t>
  </si>
  <si>
    <t>Total monthly expenses of the customer declared in application form</t>
  </si>
  <si>
    <t>Customer Total Monthly Debt</t>
  </si>
  <si>
    <t>CUSTOMER_MONTHLY_EXPENCES</t>
  </si>
  <si>
    <t>App.Current 60 dpd number of Overdrafts</t>
  </si>
  <si>
    <t>Number of open Overdrafts with 61-90 dpd</t>
  </si>
  <si>
    <t>App.First Bank Overdrafts Open Duration</t>
  </si>
  <si>
    <t>Duration since opening of the first Bank overdraft for the applicant</t>
  </si>
  <si>
    <t>App.Latest Bank Overdrafts Close Duration</t>
  </si>
  <si>
    <t>Duration since closure of the latest Bank overdraft for the applicant</t>
  </si>
  <si>
    <t>App.Current worst dpd for Overdrafts</t>
  </si>
  <si>
    <t>Highest number of days past due (dpd) over the open Overdrafts</t>
  </si>
  <si>
    <t>App.No Overdrafts Under Legal</t>
  </si>
  <si>
    <t>Number of accounts under legal follow up for overdrafts</t>
  </si>
  <si>
    <t>App.Latest Legal Duration of Overdrafts</t>
  </si>
  <si>
    <t>Duration since the latest account sent in legal follow up for overdrafts</t>
  </si>
  <si>
    <t>App.Total Legal Balance of Overdrafts</t>
  </si>
  <si>
    <t>Total balance under legal follow up for overdrafts</t>
  </si>
  <si>
    <t>App.WPS ever of Overdrafts</t>
  </si>
  <si>
    <t>Worst payment status ever over all Overdrafts</t>
  </si>
  <si>
    <t>App.No of 30 dpd in last 3 month for open Overdrafts</t>
  </si>
  <si>
    <t>App.No of 30 dpd in last 6 months for open Overdrafts</t>
  </si>
  <si>
    <t>App.No of 30 dpd in last 12 months for open Overdrafts</t>
  </si>
  <si>
    <t>App.No of 30 dpd in last 3 month for all Overdrafts</t>
  </si>
  <si>
    <t>App.No of 30 dpd in last 6 months for all Overdrafts</t>
  </si>
  <si>
    <t>App.No of 30 dpd in last 12 months for all Overdrafts</t>
  </si>
  <si>
    <t>App.No of 60 dpd in last 3 month for open Overdrafts</t>
  </si>
  <si>
    <t>App.No of 60 dpd in last 6 months for open Overdrafts</t>
  </si>
  <si>
    <t>App.No of 60 dpd in last 12 months for open Overdrafts</t>
  </si>
  <si>
    <t>App.No of 60 dpd in last 3 month for all Overdrafts</t>
  </si>
  <si>
    <t>App.No of 60 dpd in last 6 months for all Overdrafts</t>
  </si>
  <si>
    <t>App.No of 60 dpd in last 12 months for all Overdrafts</t>
  </si>
  <si>
    <t>App.No of 90plus dpd in last 3 month for open Overdrafts</t>
  </si>
  <si>
    <t>App.No of 90plus dpd in last 6 months for open Overdrafts</t>
  </si>
  <si>
    <t>App.No of 90plus dpd in last 12 months for open Overdrafts</t>
  </si>
  <si>
    <t>App.No of 90plus dpd in last 3 month for all Overdrafts</t>
  </si>
  <si>
    <t>App.No of 90plus dpd in last 6 months for all Overdrafts</t>
  </si>
  <si>
    <t>App.No of 90plus dpd in last 12 months for all Overdrafts</t>
  </si>
  <si>
    <t>App.Worst delinquency in last 3M of Overdrafts</t>
  </si>
  <si>
    <t>Worst payment status in last 3 months for overdrafts</t>
  </si>
  <si>
    <t>App.Worst delinquency in last 6M of Overdrafts</t>
  </si>
  <si>
    <t>Worst payment status in last 6 months for overdrafts</t>
  </si>
  <si>
    <t>App.Worst delinquency in last 12M of Overdrafts</t>
  </si>
  <si>
    <t>Worst payment status in last 12 months for overdrafts</t>
  </si>
  <si>
    <t>App.Current 90plus dpd balance excl legal for Overdrafts</t>
  </si>
  <si>
    <t>Total balance of Overdrafts at 90+ dpd (excluding legal)</t>
  </si>
  <si>
    <t>Derived.Interest Rate</t>
  </si>
  <si>
    <t>INTEREST_RATE</t>
  </si>
  <si>
    <t>App.Pledged Amount</t>
  </si>
  <si>
    <t>Core System will check if customer has a pledged account via HOLD_CODE and RECORD_STAT fields and will send the amount under pledge</t>
  </si>
  <si>
    <t>PLEDGED_AMOUNT</t>
  </si>
  <si>
    <t>Derived.Input LTV</t>
  </si>
  <si>
    <t>Income Calculation.Calculated Monthly Guarantor Net Income</t>
  </si>
  <si>
    <t>Calculated income for guarantor</t>
  </si>
  <si>
    <t>C1.Scorecard.SC1.Index</t>
  </si>
  <si>
    <t>C1.Scorecard.SC1.Score</t>
  </si>
  <si>
    <t>C1.Scorecard.SC2.Index</t>
  </si>
  <si>
    <t>C1.Scorecard.SC2.Score</t>
  </si>
  <si>
    <t>C1.Scorecard.SC3.Index</t>
  </si>
  <si>
    <t>C1.Scorecard.SC3.Score</t>
  </si>
  <si>
    <t>LPA.Min tenor</t>
  </si>
  <si>
    <t>MIN_TENOR</t>
  </si>
  <si>
    <t>LPA.Max tenor</t>
  </si>
  <si>
    <t>MAX_TENOR</t>
  </si>
  <si>
    <t>LPA.Min loan amount</t>
  </si>
  <si>
    <t>MIN_LOAN_AMOUNT</t>
  </si>
  <si>
    <t>LPA.Max loan amount</t>
  </si>
  <si>
    <t>MAX_LOAN_AMOUNT</t>
  </si>
  <si>
    <t>LPA.Payment Plan Type.Accept Requested Payment Plan Type Flag</t>
  </si>
  <si>
    <t>LPA.Payment Plan Type.New Payment Plan Type Code</t>
  </si>
  <si>
    <t>TBD</t>
  </si>
  <si>
    <t>LPA.Payment Plan Type.Assigned Payment Plan Type Code</t>
  </si>
  <si>
    <t>LPA.Payment Plan Type.Deferral</t>
  </si>
  <si>
    <t>LPA.Payment Plan Type.Deferral Type</t>
  </si>
  <si>
    <t>ID tarafından hesaplanıp, ana sisteme gönderilen değer</t>
  </si>
  <si>
    <t>LPA.Payment Plan Type.Interim Payment Ratio</t>
  </si>
  <si>
    <t>LPA.Payment Plan Type.Increase Ratio</t>
  </si>
  <si>
    <t>LPA.Payment Plan Type.Increase Frequency</t>
  </si>
  <si>
    <t>LPA.Payment Plan Type.Balloon Payment Ratio</t>
  </si>
  <si>
    <t>LPA.Max LTV</t>
  </si>
  <si>
    <t>LPA.Derived LTV</t>
  </si>
  <si>
    <t>LP1.Min tenor</t>
  </si>
  <si>
    <t>LP1.Max tenor</t>
  </si>
  <si>
    <t>LP1.Min loan amount</t>
  </si>
  <si>
    <t>LP1.Max loan amount</t>
  </si>
  <si>
    <t>LP1.Payment Plan Type.Accept Requested Payment Plan Type Flag</t>
  </si>
  <si>
    <t>LP1.Payment Plan Type.New Payment Plan Type Code</t>
  </si>
  <si>
    <t>LP1.Payment Plan Type.Assigned Payment Plan Type Code</t>
  </si>
  <si>
    <t>LP1.Payment Plan Type.Deferral</t>
  </si>
  <si>
    <t>LP1.Payment Plan Type.Deferral Type</t>
  </si>
  <si>
    <t>LP1.Payment Plan Type.Interim Payment Ratio</t>
  </si>
  <si>
    <t>LP1.Payment Plan Type.Increase Ratio</t>
  </si>
  <si>
    <t>LP1.Payment Plan Type.Increase Frequency</t>
  </si>
  <si>
    <t>LP1.Payment Plan Type.Balloon Payment Ratio</t>
  </si>
  <si>
    <t>LP1.Max LTV</t>
  </si>
  <si>
    <t>LP1.Derived LTV</t>
  </si>
  <si>
    <t>LP2.Min tenor</t>
  </si>
  <si>
    <t>LP2.Max tenor</t>
  </si>
  <si>
    <t>LP2.Min loan amount</t>
  </si>
  <si>
    <t>LP2.Max loan amount</t>
  </si>
  <si>
    <t>LP2.Payment Plan Type.Accept Requested Payment Plan Type Flag</t>
  </si>
  <si>
    <t>LP2.Payment Plan Type.New Payment Plan Type Code</t>
  </si>
  <si>
    <t>LP2.Payment Plan Type.Assigned Payment Plan Type Code</t>
  </si>
  <si>
    <t>LP2.Payment Plan Type.Deferral</t>
  </si>
  <si>
    <t>LP2.Payment Plan Type.Deferral Type</t>
  </si>
  <si>
    <t>LP2.Payment Plan Type.Interim Payment Ratio</t>
  </si>
  <si>
    <t>LP2.Payment Plan Type.Increase Ratio</t>
  </si>
  <si>
    <t>LP2.Payment Plan Type.Increase Frequency</t>
  </si>
  <si>
    <t>LP2.Payment Plan Type.Balloon Payment Ratio</t>
  </si>
  <si>
    <t>LP2.Max LTV</t>
  </si>
  <si>
    <t>LP2.Derived LTV</t>
  </si>
  <si>
    <t>App.Application.Staff</t>
  </si>
  <si>
    <t>Flag to show if customer is bank's staff</t>
  </si>
  <si>
    <t>IS_EMPLOYEE_FLG</t>
  </si>
  <si>
    <t>Income Calculation.Calculated Monthly Spouse Net Income</t>
  </si>
  <si>
    <t>Income Calculation.Calculation Method</t>
  </si>
  <si>
    <t>V: Verified
D: Documented
C: Calculated
Z: Declared
I: Rent income added</t>
  </si>
  <si>
    <t>App.Customer status</t>
  </si>
  <si>
    <t>Customers' all existing accounts with Bank are searched and final status decision is flagged in this field as per valid values definition</t>
  </si>
  <si>
    <t>CUSTOMER_STATUS</t>
  </si>
  <si>
    <t>If customer has any acount under legal follow up L,S,W,A,R,V, if customer has open credit account with Bank O, if all accounts are closed C.</t>
  </si>
  <si>
    <t>Income Calculation.Disposable Spouse Net Income</t>
  </si>
  <si>
    <t>Income Calculation.Income Calculation Spare1</t>
  </si>
  <si>
    <t>Income Calculation.Income Calculation Spare2</t>
  </si>
  <si>
    <t>App.Total Open personal loans Installment</t>
  </si>
  <si>
    <t>App.Total Open Loans Installment</t>
  </si>
  <si>
    <t>TOTAL_OPEN_LOAN_INSTALLMENT</t>
  </si>
  <si>
    <t>Max Debt Burden.Card Limit Room</t>
  </si>
  <si>
    <t>App.Current 30 dpd number of personal loans</t>
  </si>
  <si>
    <t>Number of open loans with 31-60 dpd</t>
  </si>
  <si>
    <t>DPD30_PERSONAL_LOANS_CNT</t>
  </si>
  <si>
    <t>Limit Calculation.App.Suggested Monthly Payment</t>
  </si>
  <si>
    <t>Limit Calculation.App.Suggested Tenor</t>
  </si>
  <si>
    <t>Limit Calculation.Product1.Suggested Loan Amount</t>
  </si>
  <si>
    <t>Limit Calculation.Product1.Suggested Monthly Payment</t>
  </si>
  <si>
    <t>Limit Calculation.Product1.Suggested Tenor</t>
  </si>
  <si>
    <t>Limit Calculation.Product2.Suggested Loan Amount</t>
  </si>
  <si>
    <t>Limit Calculation.Product2.Suggested Monthly Payment</t>
  </si>
  <si>
    <t>Limit Calculation.Product2.Suggested Tenor</t>
  </si>
  <si>
    <t>Limit Calculation.12M Calculated Loan Amount</t>
  </si>
  <si>
    <t>Limit Calculation.12M Calculated Monthly Payment</t>
  </si>
  <si>
    <t>Limit Calculation.18M Calculated Loan Amount</t>
  </si>
  <si>
    <t>Limit Calculation.18M Calculated Monthly Payment</t>
  </si>
  <si>
    <t>Limit Calculation.24M Calculated Loan Amount</t>
  </si>
  <si>
    <t>Limit Calculation.24M Calculated Monthly Payment</t>
  </si>
  <si>
    <t>Limit Calculation.36M Calculated Loan Amount</t>
  </si>
  <si>
    <t>Limit Calculation.36M Calculated Monthly Payment</t>
  </si>
  <si>
    <t>Limit Calculation.48M Calculated Loan Amount</t>
  </si>
  <si>
    <t>Limit Calculation.48M Calculated Monthly Payment</t>
  </si>
  <si>
    <t>Limit Calculation.60M Calculated Loan Amount</t>
  </si>
  <si>
    <t>Limit Calculation.60M Calculated Monthly Payment</t>
  </si>
  <si>
    <t>App.Current 30 dpd number of Mortgage loans</t>
  </si>
  <si>
    <t>DPD30_MORTGAGE_LOANS_CNT</t>
  </si>
  <si>
    <t>App.Total Open Auto loans Installment</t>
  </si>
  <si>
    <t>App.Current 30 dpd number of Auto loans</t>
  </si>
  <si>
    <t>DPD30_AUTO_LOANS_CNT</t>
  </si>
  <si>
    <t>Limit Calculation.CustomerExposure</t>
  </si>
  <si>
    <t>Customer ME in bank calculated in ID</t>
  </si>
  <si>
    <t>Limit Calculation.MaxCustomerExposure</t>
  </si>
  <si>
    <t>Max Customer ME allowed by policy</t>
  </si>
  <si>
    <t>Limit Calculation.LTV</t>
  </si>
  <si>
    <t>LTV calculated by ID (for auto and mortgage)</t>
  </si>
  <si>
    <t>Limit Calculation.Vehicle Offer.Installment1</t>
  </si>
  <si>
    <t>Limit Calculation.Vehicle Offer.Installment2</t>
  </si>
  <si>
    <t>Limit Calculation.Vehicle Offer.Installment3</t>
  </si>
  <si>
    <t>App.Total Open Credit Cards Balance</t>
  </si>
  <si>
    <t>Total outstanding balance of open card accounts</t>
  </si>
  <si>
    <t>TOTAL_OPEN_CC_BALANCE</t>
  </si>
  <si>
    <t>C1.Policy Rules.Sorted Reason Codes</t>
  </si>
  <si>
    <t>C1_REASON_CODES</t>
  </si>
  <si>
    <t>C1.Policy Rules.Notes</t>
  </si>
  <si>
    <t>CB Decision.Applicant.Flag</t>
  </si>
  <si>
    <t>ID's decision on asking for fresh credit bureau (for future use)</t>
  </si>
  <si>
    <t>CALL_BUREAU</t>
  </si>
  <si>
    <t>CB Decision.Reason Code</t>
  </si>
  <si>
    <t>Credit Registry Decision.Applicant.Flag</t>
  </si>
  <si>
    <t>ID's decision on asking for fresh credit registry check</t>
  </si>
  <si>
    <t>Credit Registry Decision.Reason Code</t>
  </si>
  <si>
    <t>Credit Registry Decision.Spouse.Flag</t>
  </si>
  <si>
    <t>Credit Registry Decision.Guarantor1.Flag</t>
  </si>
  <si>
    <t>C2.Scorecard.SC1.Index</t>
  </si>
  <si>
    <t>C2.Scorecard.SC1.Score</t>
  </si>
  <si>
    <t>C2.Scorecard.SC2.Index</t>
  </si>
  <si>
    <t>C2.Scorecard.SC2.Score</t>
  </si>
  <si>
    <t>C2.Scorecard.SC3.Index</t>
  </si>
  <si>
    <t>C2.Scorecard.SC3.Score</t>
  </si>
  <si>
    <t>C2.Scorecard.SC4.Index</t>
  </si>
  <si>
    <t>C2.Scorecard.SC4.Score</t>
  </si>
  <si>
    <t>C2.Scorecard.SC5.Index</t>
  </si>
  <si>
    <t>C2.Scorecard.SC5.Score</t>
  </si>
  <si>
    <t>App.Current 30 dpd number of Credit Cards</t>
  </si>
  <si>
    <t>Number of open cards with 31-60 dpd</t>
  </si>
  <si>
    <t>DPD30_CC_LOANS_CNT</t>
  </si>
  <si>
    <t>Risk Segmentation.Reason</t>
  </si>
  <si>
    <t>Risk Grading.Risk Grade</t>
  </si>
  <si>
    <t>Risk Grading.Reason</t>
  </si>
  <si>
    <t>Risk Segmentation.Bank Customer Category</t>
  </si>
  <si>
    <t>App.Current 30 dpd number of Overdrafts</t>
  </si>
  <si>
    <t>Number of open Overdrafts with 31-60 dpd</t>
  </si>
  <si>
    <t>DPD30_OVERDRAFT_LOANS_CNT</t>
  </si>
  <si>
    <t>C2.Policy Rules.Sorted Reason Codes</t>
  </si>
  <si>
    <t>C2.Policy Rules.Notes</t>
  </si>
  <si>
    <t>C3.Scorecard.SC1.Index</t>
  </si>
  <si>
    <t>C3.Scorecard.SC1.Score</t>
  </si>
  <si>
    <t>C3.Scorecard.SC2.Index</t>
  </si>
  <si>
    <t>C3.Scorecard.SC2.Score</t>
  </si>
  <si>
    <t>C3.Scorecard.SC3.Index</t>
  </si>
  <si>
    <t>C3.Scorecard.SC3.Score</t>
  </si>
  <si>
    <t>C3.Scorecard.SC4.Index</t>
  </si>
  <si>
    <t>C3.Scorecard.SC4.Score</t>
  </si>
  <si>
    <t>C3.Scorecard.SC5.Index</t>
  </si>
  <si>
    <t>C3.Scorecard.SC5.Score</t>
  </si>
  <si>
    <t>C3.LP1.Max loan amount</t>
  </si>
  <si>
    <t>C3.LP1.Max LTV</t>
  </si>
  <si>
    <t>C3.LP1.Max tenor</t>
  </si>
  <si>
    <t>C3.LP1.Min loan amount</t>
  </si>
  <si>
    <t>C3.LP1.Min tenor</t>
  </si>
  <si>
    <t>C3.LP1.Payment Plan Type.Accept Requested Payment Plan Type Flag</t>
  </si>
  <si>
    <t>C3.LP1.Payment Plan Type.Assigned Payment Plan Type Code</t>
  </si>
  <si>
    <t>C3.LP1.Payment Plan Type.New Payment Plan Type Code</t>
  </si>
  <si>
    <t>C3.LP1.Payment Plan Type.Balloon Payment Ratio</t>
  </si>
  <si>
    <t>C3.LP1.Payment Plan Type.Deferral</t>
  </si>
  <si>
    <t>C3.LP1.Payment Plan Type.Deferral Type</t>
  </si>
  <si>
    <t>C3.LP1.Payment Plan Type.Increase Frequency</t>
  </si>
  <si>
    <t>C3.LP1.Payment Plan Type.Increase Ratio</t>
  </si>
  <si>
    <t>C3.LP1.Payment Plan Type.Interim Payment Ratio</t>
  </si>
  <si>
    <t>C3.LP2.Max loan amount</t>
  </si>
  <si>
    <t>C3.LP2.Max LTV</t>
  </si>
  <si>
    <t>C3.LP2.Max tenor</t>
  </si>
  <si>
    <t>C3.LP2.Min loan amount</t>
  </si>
  <si>
    <t>C3.LP2.Min tenor</t>
  </si>
  <si>
    <t>C3.LP2.Payment Plan Type.Accept Requested Payment Plan Type Flag</t>
  </si>
  <si>
    <t>C3.LP2.Payment Plan Type.Assigned Payment Plan Type Code</t>
  </si>
  <si>
    <t>C3.LP2.Payment Plan Type.New Payment Plan Type Code</t>
  </si>
  <si>
    <t>C3.LP2.Payment Plan Type.Balloon Payment Ratio</t>
  </si>
  <si>
    <t>C3.LP2.Payment Plan Type.Deferral</t>
  </si>
  <si>
    <t>C3.LP2.Payment Plan Type.Deferral Type</t>
  </si>
  <si>
    <t>C3.LP2.Payment Plan Type.Increase Frequency</t>
  </si>
  <si>
    <t>C3.LP2.Payment Plan Type.Increase Ratio</t>
  </si>
  <si>
    <t>C3.LP2.Payment Plan Type.Interim Payment Ratio</t>
  </si>
  <si>
    <t>C3.LPA.Max loan amount</t>
  </si>
  <si>
    <t>C3.LPA.Max LTV</t>
  </si>
  <si>
    <t>C3.LPA.Max tenor</t>
  </si>
  <si>
    <t>Requested Loan Amount</t>
  </si>
  <si>
    <t>Requested Loan Amount / card limit</t>
  </si>
  <si>
    <t>C3.LPA.Min tenor</t>
  </si>
  <si>
    <t>C3.LPA.Payment Plan Type.Accept Requested Payment Plan Type Flag</t>
  </si>
  <si>
    <t>C3.LPA.Payment Plan Type.Assigned Payment Plan Type Code</t>
  </si>
  <si>
    <t>C3.LPA.Payment Plan Type.New Payment Plan Type Code</t>
  </si>
  <si>
    <t>C3.LPA.Payment Plan Type.Balloon Payment Ratio</t>
  </si>
  <si>
    <t>C3.LPA.Payment Plan Type.Deferral</t>
  </si>
  <si>
    <t>C3.LPA.Payment Plan Type.Deferral Type</t>
  </si>
  <si>
    <t>C3.LPA.Payment Plan Type.Increase Frequency</t>
  </si>
  <si>
    <t>C3.LPA.Payment Plan Type.Increase Ratio</t>
  </si>
  <si>
    <t>C3.LPA.Payment Plan Type.Interim Payment Ratio</t>
  </si>
  <si>
    <t>Product code in Core System used to identify each specific product which holds all the product information such as pricing and other T&amp;C</t>
  </si>
  <si>
    <t>Product code</t>
  </si>
  <si>
    <t>Core System Product codes</t>
  </si>
  <si>
    <t>C3.Policy Rules.Sorted Reason Codes</t>
  </si>
  <si>
    <t>C3.Policy Rules.Notes</t>
  </si>
  <si>
    <t>Cross Sell.Decision 1</t>
  </si>
  <si>
    <t>Cross Sell.Decision 2</t>
  </si>
  <si>
    <t>Cross Sell.Decision 3</t>
  </si>
  <si>
    <t>Cross Sell.Decision Reason</t>
  </si>
  <si>
    <t>Cross Sell.Amount</t>
  </si>
  <si>
    <t>Decision.Decision Category</t>
  </si>
  <si>
    <t>DECISION_CATEGORY</t>
  </si>
  <si>
    <t>Decision.Sorted Reason Codes</t>
  </si>
  <si>
    <t>Communication Channel.SMS Flag</t>
  </si>
  <si>
    <t>Communication Channel.Mail Flag</t>
  </si>
  <si>
    <t>Communication Channel.Email Flag</t>
  </si>
  <si>
    <t>Card Limit Negotiation</t>
  </si>
  <si>
    <t>When ID suggests an eligible card limit less than customer requested amount, ID refers the application for customer approval</t>
  </si>
  <si>
    <t>Requested Payment Plan Type</t>
  </si>
  <si>
    <t>Requested payment plan type (equal monthly, baloon, skip, flexible..etc)</t>
  </si>
  <si>
    <t>REQUESTED_PAYMENT_PLAN</t>
  </si>
  <si>
    <t>Approver Level</t>
  </si>
  <si>
    <t>Verification Decision.Decision</t>
  </si>
  <si>
    <t>VERIFICATION_DECISION_FLG</t>
  </si>
  <si>
    <t>Verification Complete</t>
  </si>
  <si>
    <t>Documentation Complete Flag</t>
  </si>
  <si>
    <t>DOCUMENTATION_COMPLETED_FLG</t>
  </si>
  <si>
    <t>ID Input</t>
  </si>
  <si>
    <t>email inconsistency flag</t>
  </si>
  <si>
    <t>Derived Customer Total Monthly Debt</t>
  </si>
  <si>
    <t>CUSTOMER_TOTAL_MONTHLY_DEBT</t>
  </si>
  <si>
    <t>App.Verified Income</t>
  </si>
  <si>
    <t>App.Verified Income (From Zeynep 02.03.2023)</t>
  </si>
  <si>
    <t>Verified Income</t>
  </si>
  <si>
    <t>VERIFIED_INCOME</t>
  </si>
  <si>
    <t>DOCUMENTATION_TYPE</t>
  </si>
  <si>
    <t>For rule // Determines if a documentation is required</t>
  </si>
  <si>
    <t>"SC"</t>
  </si>
  <si>
    <t>DOCUMENTATION.DECISION</t>
  </si>
  <si>
    <t>DOCUMENTATION_DECISION_FLG</t>
  </si>
  <si>
    <t>INTEREST_INCOME</t>
  </si>
  <si>
    <t>DPD30_CASH_COLLATERAL_CNT</t>
  </si>
  <si>
    <t>HOME_INCONSISTENCY_FLG</t>
  </si>
  <si>
    <t>BUSINESS_INCONSISTENCY_FLG</t>
  </si>
  <si>
    <t>EMAIL_INCONSISTENCY_FLG</t>
  </si>
  <si>
    <t>MAIDEN_NAME_INCONSISTENCY_FLG</t>
  </si>
  <si>
    <t>DD Name</t>
  </si>
  <si>
    <t>City</t>
  </si>
  <si>
    <t xml:space="preserve">Other Income Type </t>
  </si>
  <si>
    <t>Country/ Nationality</t>
  </si>
  <si>
    <t>Employment Type</t>
  </si>
  <si>
    <t>Gender</t>
  </si>
  <si>
    <t>Residence Type</t>
  </si>
  <si>
    <t>Payment Plan Type</t>
  </si>
  <si>
    <t>Product Type</t>
  </si>
  <si>
    <t>ID Type</t>
  </si>
  <si>
    <t>WORK POSITION</t>
  </si>
  <si>
    <t>RESIDENCY</t>
  </si>
  <si>
    <t>Loan Purpose</t>
  </si>
  <si>
    <t>Credit Registry Status Fields</t>
  </si>
  <si>
    <t>#</t>
  </si>
  <si>
    <t>Possible Values</t>
  </si>
  <si>
    <t>Code</t>
  </si>
  <si>
    <t>Core System Value</t>
  </si>
  <si>
    <t>Branches</t>
  </si>
  <si>
    <t>BR</t>
  </si>
  <si>
    <t>System issues</t>
  </si>
  <si>
    <t>01</t>
  </si>
  <si>
    <t>R</t>
  </si>
  <si>
    <t>Afganistan</t>
  </si>
  <si>
    <t>AF</t>
  </si>
  <si>
    <t>P</t>
  </si>
  <si>
    <t>U</t>
  </si>
  <si>
    <t>Male</t>
  </si>
  <si>
    <t>AGENT - BROKER</t>
  </si>
  <si>
    <t>Belongs to family</t>
  </si>
  <si>
    <t>F</t>
  </si>
  <si>
    <t>Equal monthly</t>
  </si>
  <si>
    <t>E</t>
  </si>
  <si>
    <t>Super Loan</t>
  </si>
  <si>
    <t>SL</t>
  </si>
  <si>
    <t>ALL</t>
  </si>
  <si>
    <t>Citizen ID</t>
  </si>
  <si>
    <t>Owner/Partner</t>
  </si>
  <si>
    <t>Citizen</t>
  </si>
  <si>
    <t>Home Loan</t>
  </si>
  <si>
    <t>current</t>
  </si>
  <si>
    <t>Direct Sales</t>
  </si>
  <si>
    <t>DS</t>
  </si>
  <si>
    <t>No ID document</t>
  </si>
  <si>
    <t>02</t>
  </si>
  <si>
    <t>Retirement</t>
  </si>
  <si>
    <t>Almanya</t>
  </si>
  <si>
    <t>DE</t>
  </si>
  <si>
    <t>Doctorate</t>
  </si>
  <si>
    <t>D</t>
  </si>
  <si>
    <t>Female</t>
  </si>
  <si>
    <t>S</t>
  </si>
  <si>
    <t>AGRONOMIST</t>
  </si>
  <si>
    <t>Belongs to someone else</t>
  </si>
  <si>
    <t>Grace Period</t>
  </si>
  <si>
    <t>Pensioner Loan</t>
  </si>
  <si>
    <t>PL</t>
  </si>
  <si>
    <t>Low Risk</t>
  </si>
  <si>
    <t>Driving Licence</t>
  </si>
  <si>
    <t>Top Manager</t>
  </si>
  <si>
    <t>Resident Permit Holder</t>
  </si>
  <si>
    <t>House Contruction</t>
  </si>
  <si>
    <t>delinquent</t>
  </si>
  <si>
    <t>Website</t>
  </si>
  <si>
    <t>IN</t>
  </si>
  <si>
    <t>Spouse salary</t>
  </si>
  <si>
    <t>H</t>
  </si>
  <si>
    <t>Amerika Birleşik Devletleri</t>
  </si>
  <si>
    <t>US</t>
  </si>
  <si>
    <t>ARCHAEOLOGIST</t>
  </si>
  <si>
    <t>03</t>
  </si>
  <si>
    <t>Belongs to customer</t>
  </si>
  <si>
    <t>Interim payments</t>
  </si>
  <si>
    <t>HL</t>
  </si>
  <si>
    <t>Medium Risk</t>
  </si>
  <si>
    <t>CHF</t>
  </si>
  <si>
    <t>07</t>
  </si>
  <si>
    <t>Passport</t>
  </si>
  <si>
    <t>Manager( up to Top Manager)</t>
  </si>
  <si>
    <t>Immigrant</t>
  </si>
  <si>
    <t>Shop Loan</t>
  </si>
  <si>
    <t>Legal</t>
  </si>
  <si>
    <t>Call Center</t>
  </si>
  <si>
    <t>CC</t>
  </si>
  <si>
    <t>Family company share</t>
  </si>
  <si>
    <t>Amerikan Samoa</t>
  </si>
  <si>
    <t>AS</t>
  </si>
  <si>
    <t>Masters</t>
  </si>
  <si>
    <t>W</t>
  </si>
  <si>
    <t>ARCHITECT - DESIGNER</t>
  </si>
  <si>
    <t>04</t>
  </si>
  <si>
    <t>Increasing payments</t>
  </si>
  <si>
    <t>HC</t>
  </si>
  <si>
    <t>High Risj</t>
  </si>
  <si>
    <t>CAD</t>
  </si>
  <si>
    <t>08</t>
  </si>
  <si>
    <t>Manager</t>
  </si>
  <si>
    <t>Non Resident</t>
  </si>
  <si>
    <t>Home Improvement</t>
  </si>
  <si>
    <t>closed</t>
  </si>
  <si>
    <t>SMS</t>
  </si>
  <si>
    <t>SM</t>
  </si>
  <si>
    <t>Social Aid</t>
  </si>
  <si>
    <t>Andorra</t>
  </si>
  <si>
    <t>AD</t>
  </si>
  <si>
    <t>University/College</t>
  </si>
  <si>
    <t>Physical Person</t>
  </si>
  <si>
    <t xml:space="preserve">Engaged/Co-Living </t>
  </si>
  <si>
    <t>ARTIST</t>
  </si>
  <si>
    <t>05</t>
  </si>
  <si>
    <t>Baloon payments</t>
  </si>
  <si>
    <t>SC</t>
  </si>
  <si>
    <t>Very High Risk</t>
  </si>
  <si>
    <t>KWD</t>
  </si>
  <si>
    <t>09</t>
  </si>
  <si>
    <t>Officer (up to manager)</t>
  </si>
  <si>
    <t>Health</t>
  </si>
  <si>
    <t>write-off</t>
  </si>
  <si>
    <t>eBanking</t>
  </si>
  <si>
    <t>EB</t>
  </si>
  <si>
    <t>Agriculture Income</t>
  </si>
  <si>
    <t>A</t>
  </si>
  <si>
    <t>Angola</t>
  </si>
  <si>
    <t>AO</t>
  </si>
  <si>
    <t>LAWYER</t>
  </si>
  <si>
    <t>06</t>
  </si>
  <si>
    <t>Equal principal</t>
  </si>
  <si>
    <t>Z</t>
  </si>
  <si>
    <t>GBP</t>
  </si>
  <si>
    <t>Laborer</t>
  </si>
  <si>
    <t>L</t>
  </si>
  <si>
    <t>reversed</t>
  </si>
  <si>
    <t>Mobile</t>
  </si>
  <si>
    <t>MB</t>
  </si>
  <si>
    <t xml:space="preserve">Remittance </t>
  </si>
  <si>
    <t>Anguila</t>
  </si>
  <si>
    <t>AV</t>
  </si>
  <si>
    <t>T</t>
  </si>
  <si>
    <t>BANKER</t>
  </si>
  <si>
    <t>Flexible</t>
  </si>
  <si>
    <t>HT</t>
  </si>
  <si>
    <t>SAR</t>
  </si>
  <si>
    <t>Turism</t>
  </si>
  <si>
    <t>ATM</t>
  </si>
  <si>
    <t>AT</t>
  </si>
  <si>
    <t>Military Pension</t>
  </si>
  <si>
    <t>Anguilla</t>
  </si>
  <si>
    <t>AI</t>
  </si>
  <si>
    <t>DEPUTY</t>
  </si>
  <si>
    <t>Quarterly</t>
  </si>
  <si>
    <t>ED</t>
  </si>
  <si>
    <t>JPY</t>
  </si>
  <si>
    <t>Wedding</t>
  </si>
  <si>
    <t>Merchant</t>
  </si>
  <si>
    <t xml:space="preserve">Divorced Pension </t>
  </si>
  <si>
    <t>Antarktika</t>
  </si>
  <si>
    <t>AQ</t>
  </si>
  <si>
    <t>DOCTOR</t>
  </si>
  <si>
    <t>Semi-annually</t>
  </si>
  <si>
    <t>Consumer Durable</t>
  </si>
  <si>
    <t>CD</t>
  </si>
  <si>
    <t>EUR</t>
  </si>
  <si>
    <t>Land purchase</t>
  </si>
  <si>
    <t xml:space="preserve">Agent </t>
  </si>
  <si>
    <t>AG</t>
  </si>
  <si>
    <t>Health Pension</t>
  </si>
  <si>
    <t>Antigua ve Barbuda</t>
  </si>
  <si>
    <t>GENERAL DIRECTOR OF PUBLIC INSTITUTION</t>
  </si>
  <si>
    <t>Bullet Payment</t>
  </si>
  <si>
    <t>Technical Equipment</t>
  </si>
  <si>
    <t>TE</t>
  </si>
  <si>
    <t>AUD</t>
  </si>
  <si>
    <t>Financial investment</t>
  </si>
  <si>
    <t>Honoraries &amp; Bonuses</t>
  </si>
  <si>
    <t>Arjantin</t>
  </si>
  <si>
    <t>AR</t>
  </si>
  <si>
    <t>NGO/ NPO (Non-government/Non-profit)</t>
  </si>
  <si>
    <t>ECONOMIST</t>
  </si>
  <si>
    <t>11</t>
  </si>
  <si>
    <t>Used Car</t>
  </si>
  <si>
    <t>UC</t>
  </si>
  <si>
    <t>IRR</t>
  </si>
  <si>
    <t>State payments</t>
  </si>
  <si>
    <t>Arnavutluk</t>
  </si>
  <si>
    <t>AL</t>
  </si>
  <si>
    <t>PHARMACIST</t>
  </si>
  <si>
    <t>New Car</t>
  </si>
  <si>
    <t>NC</t>
  </si>
  <si>
    <t>DKK</t>
  </si>
  <si>
    <t>Consumer electronic</t>
  </si>
  <si>
    <t>Aruba</t>
  </si>
  <si>
    <t>AW</t>
  </si>
  <si>
    <t>Banking / Financial Institution salaried</t>
  </si>
  <si>
    <t>FARMER</t>
  </si>
  <si>
    <t>13</t>
  </si>
  <si>
    <t>Overdraft</t>
  </si>
  <si>
    <t>OD</t>
  </si>
  <si>
    <t>SEK</t>
  </si>
  <si>
    <t>House Furnishing</t>
  </si>
  <si>
    <t>Ascention Adaları</t>
  </si>
  <si>
    <t>AC</t>
  </si>
  <si>
    <t>JOURNALIST</t>
  </si>
  <si>
    <t>14</t>
  </si>
  <si>
    <t>Credit Card</t>
  </si>
  <si>
    <t>AED</t>
  </si>
  <si>
    <t>Debt Purchase</t>
  </si>
  <si>
    <t>Avustralya</t>
  </si>
  <si>
    <t>AU</t>
  </si>
  <si>
    <t>GEOLOGIST</t>
  </si>
  <si>
    <t>15</t>
  </si>
  <si>
    <t>Cash Collateral</t>
  </si>
  <si>
    <t>CL</t>
  </si>
  <si>
    <t>TRY</t>
  </si>
  <si>
    <t>Avusturya</t>
  </si>
  <si>
    <t>JUDGE</t>
  </si>
  <si>
    <t>16</t>
  </si>
  <si>
    <t>Business Credit Card</t>
  </si>
  <si>
    <t>BC</t>
  </si>
  <si>
    <t>Azerbaycan</t>
  </si>
  <si>
    <t>AZ</t>
  </si>
  <si>
    <t>UNEMPLOYED</t>
  </si>
  <si>
    <t>17</t>
  </si>
  <si>
    <t>Investment Loan</t>
  </si>
  <si>
    <t>IL</t>
  </si>
  <si>
    <t>Bahama</t>
  </si>
  <si>
    <t>BS</t>
  </si>
  <si>
    <t>SELF-EMPLOYED</t>
  </si>
  <si>
    <t>18</t>
  </si>
  <si>
    <t>Agro Loan</t>
  </si>
  <si>
    <t>Bahreyn</t>
  </si>
  <si>
    <t>BH</t>
  </si>
  <si>
    <t>INDUSTRIALIST</t>
  </si>
  <si>
    <t>19</t>
  </si>
  <si>
    <t>Startup Loan</t>
  </si>
  <si>
    <t>SU</t>
  </si>
  <si>
    <t>Bangladeş</t>
  </si>
  <si>
    <t>BD</t>
  </si>
  <si>
    <t>NURSE</t>
  </si>
  <si>
    <t>20</t>
  </si>
  <si>
    <t>Revolving Line</t>
  </si>
  <si>
    <t>RL</t>
  </si>
  <si>
    <t>Barbados</t>
  </si>
  <si>
    <t>BB</t>
  </si>
  <si>
    <t>INSPECTOR</t>
  </si>
  <si>
    <t>21</t>
  </si>
  <si>
    <t>Inventory Loan</t>
  </si>
  <si>
    <t>IV</t>
  </si>
  <si>
    <t>Batı Sahra</t>
  </si>
  <si>
    <t>EH</t>
  </si>
  <si>
    <t>ENGINEER</t>
  </si>
  <si>
    <t>22</t>
  </si>
  <si>
    <t>Letter of Guarantee</t>
  </si>
  <si>
    <t>LG</t>
  </si>
  <si>
    <t>Consumer Refinance</t>
  </si>
  <si>
    <t>Belçika</t>
  </si>
  <si>
    <t>BE</t>
  </si>
  <si>
    <t>23</t>
  </si>
  <si>
    <t>Letter of Credit</t>
  </si>
  <si>
    <t>LC</t>
  </si>
  <si>
    <t>Belize</t>
  </si>
  <si>
    <t>BZ</t>
  </si>
  <si>
    <t>ACCOUNTANT</t>
  </si>
  <si>
    <t>24</t>
  </si>
  <si>
    <t>Cheque Collateralized</t>
  </si>
  <si>
    <t>CH</t>
  </si>
  <si>
    <t>Benin</t>
  </si>
  <si>
    <t>BJ</t>
  </si>
  <si>
    <t>MATHEMATICIAN - PHYSICIST</t>
  </si>
  <si>
    <t>25</t>
  </si>
  <si>
    <t>…</t>
  </si>
  <si>
    <t>Bermuda</t>
  </si>
  <si>
    <t>BM</t>
  </si>
  <si>
    <t>MANAGER</t>
  </si>
  <si>
    <t>26</t>
  </si>
  <si>
    <t>Staff Loan GPSL</t>
  </si>
  <si>
    <t>EL</t>
  </si>
  <si>
    <t>Beyaz Rusya (Belarus)</t>
  </si>
  <si>
    <t>BY</t>
  </si>
  <si>
    <t>EDUCATION STAFF</t>
  </si>
  <si>
    <t>27</t>
  </si>
  <si>
    <t>Staff Loan SRCP/GPSL</t>
  </si>
  <si>
    <t>ES</t>
  </si>
  <si>
    <t>Bhutan</t>
  </si>
  <si>
    <t>BT</t>
  </si>
  <si>
    <t>MINORS</t>
  </si>
  <si>
    <t>28</t>
  </si>
  <si>
    <t>Staff Loan HOME Loan</t>
  </si>
  <si>
    <t>Birleşik Arap Emirlikleri</t>
  </si>
  <si>
    <t>AE</t>
  </si>
  <si>
    <t>MASTER, CRAFT</t>
  </si>
  <si>
    <t>29</t>
  </si>
  <si>
    <t>Staff Loan HOME Loan SRCP</t>
  </si>
  <si>
    <t>ER</t>
  </si>
  <si>
    <t>Birleşik Krallık</t>
  </si>
  <si>
    <t>UK</t>
  </si>
  <si>
    <t>EMPLOYEE(STATE)</t>
  </si>
  <si>
    <t>30</t>
  </si>
  <si>
    <t>CR</t>
  </si>
  <si>
    <t>Bolivya</t>
  </si>
  <si>
    <t>BO</t>
  </si>
  <si>
    <t>HEALTH STAFF</t>
  </si>
  <si>
    <t>31</t>
  </si>
  <si>
    <t>Bosna Hersek</t>
  </si>
  <si>
    <t>BA</t>
  </si>
  <si>
    <t>EMPLOYEE(PRIVATE)</t>
  </si>
  <si>
    <t>32</t>
  </si>
  <si>
    <t>Botsvana</t>
  </si>
  <si>
    <t>BW</t>
  </si>
  <si>
    <t>NOTARY</t>
  </si>
  <si>
    <t>33</t>
  </si>
  <si>
    <t>Bouvet Adası</t>
  </si>
  <si>
    <t>BV</t>
  </si>
  <si>
    <t>MILLITARY STAFF</t>
  </si>
  <si>
    <t>34</t>
  </si>
  <si>
    <t>Brezilya</t>
  </si>
  <si>
    <t>TOURIST  OPERATOR</t>
  </si>
  <si>
    <t>35</t>
  </si>
  <si>
    <t>Britanya Hint Okyanusu Toprağı</t>
  </si>
  <si>
    <t>IO</t>
  </si>
  <si>
    <t>LECTURER</t>
  </si>
  <si>
    <t>36</t>
  </si>
  <si>
    <t>Brunei Darüsselam</t>
  </si>
  <si>
    <t>BN</t>
  </si>
  <si>
    <t>RETIREE</t>
  </si>
  <si>
    <t>37</t>
  </si>
  <si>
    <t>Bulgaristan</t>
  </si>
  <si>
    <t>BG</t>
  </si>
  <si>
    <t>POLICE OFFICER</t>
  </si>
  <si>
    <t>38</t>
  </si>
  <si>
    <t>Burkina Faso</t>
  </si>
  <si>
    <t>BF</t>
  </si>
  <si>
    <t>PHYCOLOGIST</t>
  </si>
  <si>
    <t>39</t>
  </si>
  <si>
    <t>Burundi</t>
  </si>
  <si>
    <t>BI</t>
  </si>
  <si>
    <t>WORKER</t>
  </si>
  <si>
    <t>40</t>
  </si>
  <si>
    <t>Büyük Britanya (UK)</t>
  </si>
  <si>
    <t>GB</t>
  </si>
  <si>
    <t>SOCIAL WORKER</t>
  </si>
  <si>
    <t>41</t>
  </si>
  <si>
    <t>Cebelitarık</t>
  </si>
  <si>
    <t>GI</t>
  </si>
  <si>
    <t>IT DEVELOPER – IT OFFICER</t>
  </si>
  <si>
    <t>42</t>
  </si>
  <si>
    <t>Cezayir</t>
  </si>
  <si>
    <t>DZ</t>
  </si>
  <si>
    <t>SELLER</t>
  </si>
  <si>
    <t>43</t>
  </si>
  <si>
    <t>Christmas Adası</t>
  </si>
  <si>
    <t>CX</t>
  </si>
  <si>
    <t>ENTERPRENEUR</t>
  </si>
  <si>
    <t>44</t>
  </si>
  <si>
    <t>Cibuti</t>
  </si>
  <si>
    <t>DJ</t>
  </si>
  <si>
    <t>SOCIOLOGIST</t>
  </si>
  <si>
    <t>45</t>
  </si>
  <si>
    <t>Cocos (Keeling) Adası</t>
  </si>
  <si>
    <t>SPORTSMAN</t>
  </si>
  <si>
    <t>46</t>
  </si>
  <si>
    <t>Cook Adası</t>
  </si>
  <si>
    <t>CK</t>
  </si>
  <si>
    <t>MEDIA STAFF</t>
  </si>
  <si>
    <t>47</t>
  </si>
  <si>
    <t>Çad</t>
  </si>
  <si>
    <t>TD</t>
  </si>
  <si>
    <t>STUDENT</t>
  </si>
  <si>
    <t>48</t>
  </si>
  <si>
    <t>Çek Cumhuriyeti</t>
  </si>
  <si>
    <t>CZ</t>
  </si>
  <si>
    <t>OTHER</t>
  </si>
  <si>
    <t>49</t>
  </si>
  <si>
    <t>Çekoslavakya (eski)</t>
  </si>
  <si>
    <t>CS</t>
  </si>
  <si>
    <t>MERCHANT</t>
  </si>
  <si>
    <t>50</t>
  </si>
  <si>
    <t>Çin</t>
  </si>
  <si>
    <t>CN</t>
  </si>
  <si>
    <t>VETERINARY</t>
  </si>
  <si>
    <t>51</t>
  </si>
  <si>
    <t>Danimarka</t>
  </si>
  <si>
    <t>DK</t>
  </si>
  <si>
    <t>Doğu Timor</t>
  </si>
  <si>
    <t>TP</t>
  </si>
  <si>
    <t>Dominik Cumhuriyeti</t>
  </si>
  <si>
    <t>DO</t>
  </si>
  <si>
    <t>Dominika</t>
  </si>
  <si>
    <t>DM</t>
  </si>
  <si>
    <t>Ekvador</t>
  </si>
  <si>
    <t>EC</t>
  </si>
  <si>
    <t>Ekvator Ginesi</t>
  </si>
  <si>
    <t>GQ</t>
  </si>
  <si>
    <t>El Salvador</t>
  </si>
  <si>
    <t>SV</t>
  </si>
  <si>
    <t>Endonezya</t>
  </si>
  <si>
    <t>Eritre</t>
  </si>
  <si>
    <t>Ermenistan</t>
  </si>
  <si>
    <t>AM</t>
  </si>
  <si>
    <t>Estonya</t>
  </si>
  <si>
    <t>EE</t>
  </si>
  <si>
    <t>Etiyopya</t>
  </si>
  <si>
    <t>ET</t>
  </si>
  <si>
    <t>Falkland Adası</t>
  </si>
  <si>
    <t>FK</t>
  </si>
  <si>
    <t>Faroe Adaları</t>
  </si>
  <si>
    <t>FO</t>
  </si>
  <si>
    <t>Fas</t>
  </si>
  <si>
    <t>MA</t>
  </si>
  <si>
    <t>Fiji</t>
  </si>
  <si>
    <t>FJ</t>
  </si>
  <si>
    <t>Fildişi Kıyısı</t>
  </si>
  <si>
    <t>CI</t>
  </si>
  <si>
    <t>Filipinler</t>
  </si>
  <si>
    <t>PH</t>
  </si>
  <si>
    <t>Finlandiya</t>
  </si>
  <si>
    <t>FI</t>
  </si>
  <si>
    <t>France, Metropolitan</t>
  </si>
  <si>
    <t>FX</t>
  </si>
  <si>
    <t>Fransa</t>
  </si>
  <si>
    <t>FR</t>
  </si>
  <si>
    <t>Fransız Guyanası</t>
  </si>
  <si>
    <t>GF</t>
  </si>
  <si>
    <t>Fransız Güney Toprakları</t>
  </si>
  <si>
    <t>TF</t>
  </si>
  <si>
    <t>Fransız Polinezyası</t>
  </si>
  <si>
    <t>PF</t>
  </si>
  <si>
    <t>Gabon</t>
  </si>
  <si>
    <t>GA</t>
  </si>
  <si>
    <t>Gambiya</t>
  </si>
  <si>
    <t>GM</t>
  </si>
  <si>
    <t>Gana</t>
  </si>
  <si>
    <t>GH</t>
  </si>
  <si>
    <t>Gine</t>
  </si>
  <si>
    <t>GN</t>
  </si>
  <si>
    <t>Gine-Bissau</t>
  </si>
  <si>
    <t>GW</t>
  </si>
  <si>
    <t>Grenada</t>
  </si>
  <si>
    <t>GD</t>
  </si>
  <si>
    <t>Grönland</t>
  </si>
  <si>
    <t>GL</t>
  </si>
  <si>
    <t>Guadeloupe</t>
  </si>
  <si>
    <t>GP</t>
  </si>
  <si>
    <t>Guam</t>
  </si>
  <si>
    <t>GU</t>
  </si>
  <si>
    <t>Guatemala</t>
  </si>
  <si>
    <t>GT</t>
  </si>
  <si>
    <t>Guyana</t>
  </si>
  <si>
    <t>GY</t>
  </si>
  <si>
    <t>Güney Afrika</t>
  </si>
  <si>
    <t>ZA</t>
  </si>
  <si>
    <t>Güney Kore</t>
  </si>
  <si>
    <t>KP</t>
  </si>
  <si>
    <t>Gürcistan</t>
  </si>
  <si>
    <t>GE</t>
  </si>
  <si>
    <t>Haiti</t>
  </si>
  <si>
    <t>Heard ve McDonald Adası</t>
  </si>
  <si>
    <t>HM</t>
  </si>
  <si>
    <t>Hindistan</t>
  </si>
  <si>
    <t>Hırvatistan</t>
  </si>
  <si>
    <t>HR</t>
  </si>
  <si>
    <t>Hollanda</t>
  </si>
  <si>
    <t>NL</t>
  </si>
  <si>
    <t>Hollanda Antilleri</t>
  </si>
  <si>
    <t>AN</t>
  </si>
  <si>
    <t>Honduras</t>
  </si>
  <si>
    <t>HN</t>
  </si>
  <si>
    <t>Hong Kong</t>
  </si>
  <si>
    <t>HK</t>
  </si>
  <si>
    <t>Irak</t>
  </si>
  <si>
    <t>IQ</t>
  </si>
  <si>
    <t>İran</t>
  </si>
  <si>
    <t>IR</t>
  </si>
  <si>
    <t>İrlanda</t>
  </si>
  <si>
    <t>IE</t>
  </si>
  <si>
    <t>İspanya</t>
  </si>
  <si>
    <t>İsrail</t>
  </si>
  <si>
    <t>İsveç</t>
  </si>
  <si>
    <t>SE</t>
  </si>
  <si>
    <t>İsviçre</t>
  </si>
  <si>
    <t>İtalya</t>
  </si>
  <si>
    <t>IT</t>
  </si>
  <si>
    <t>İzlanda</t>
  </si>
  <si>
    <t>IS</t>
  </si>
  <si>
    <t>Jamaika</t>
  </si>
  <si>
    <t>JM</t>
  </si>
  <si>
    <t>Japonya</t>
  </si>
  <si>
    <t>JP</t>
  </si>
  <si>
    <t>Kamboçya</t>
  </si>
  <si>
    <t>KH</t>
  </si>
  <si>
    <t>Kamerun</t>
  </si>
  <si>
    <t>CM</t>
  </si>
  <si>
    <t>Kanada</t>
  </si>
  <si>
    <t>CA</t>
  </si>
  <si>
    <t>Katar</t>
  </si>
  <si>
    <t>QA</t>
  </si>
  <si>
    <t>Kayman Adası</t>
  </si>
  <si>
    <t>KY</t>
  </si>
  <si>
    <t>Kazakistan</t>
  </si>
  <si>
    <t>KZ</t>
  </si>
  <si>
    <t>Kenya</t>
  </si>
  <si>
    <t>KE</t>
  </si>
  <si>
    <t>Kıbrıs</t>
  </si>
  <si>
    <t>CY</t>
  </si>
  <si>
    <t>Kırgızistan</t>
  </si>
  <si>
    <t>KG</t>
  </si>
  <si>
    <t>Kiribati</t>
  </si>
  <si>
    <t>KI</t>
  </si>
  <si>
    <t>Kolombiya</t>
  </si>
  <si>
    <t>CO</t>
  </si>
  <si>
    <t>Komorlar</t>
  </si>
  <si>
    <t>KM</t>
  </si>
  <si>
    <t>Kongo</t>
  </si>
  <si>
    <t>CG</t>
  </si>
  <si>
    <t>Kongo Demokratik Cumhuriyeti</t>
  </si>
  <si>
    <t>Kosta Rika</t>
  </si>
  <si>
    <t>Kuveyt</t>
  </si>
  <si>
    <t>KW</t>
  </si>
  <si>
    <t>Kuzey Kore</t>
  </si>
  <si>
    <t>KR</t>
  </si>
  <si>
    <t>Kuzey Mariana Adası</t>
  </si>
  <si>
    <t>MP</t>
  </si>
  <si>
    <t>Küba</t>
  </si>
  <si>
    <t>CU</t>
  </si>
  <si>
    <t>Laos</t>
  </si>
  <si>
    <t>LA</t>
  </si>
  <si>
    <t>Lesotho</t>
  </si>
  <si>
    <t>LS</t>
  </si>
  <si>
    <t>Letonya</t>
  </si>
  <si>
    <t>LV</t>
  </si>
  <si>
    <t>Liberya</t>
  </si>
  <si>
    <t>LR</t>
  </si>
  <si>
    <t>Libya</t>
  </si>
  <si>
    <t>LY</t>
  </si>
  <si>
    <t>Lihtenştayn</t>
  </si>
  <si>
    <t>LI</t>
  </si>
  <si>
    <t>Litvanya</t>
  </si>
  <si>
    <t>LT</t>
  </si>
  <si>
    <t>Lübnan</t>
  </si>
  <si>
    <t>LB</t>
  </si>
  <si>
    <t>Lüksemburg</t>
  </si>
  <si>
    <t>LU</t>
  </si>
  <si>
    <t>Macaristan</t>
  </si>
  <si>
    <t>HU</t>
  </si>
  <si>
    <t>Macau</t>
  </si>
  <si>
    <t>MO</t>
  </si>
  <si>
    <t>Madagaskar</t>
  </si>
  <si>
    <t>MG</t>
  </si>
  <si>
    <t>Makedonya (F.Y.R.O.M.)</t>
  </si>
  <si>
    <t>MK</t>
  </si>
  <si>
    <t>Malavi</t>
  </si>
  <si>
    <t>MW</t>
  </si>
  <si>
    <t>Maldivler</t>
  </si>
  <si>
    <t>MV</t>
  </si>
  <si>
    <t>Malezya</t>
  </si>
  <si>
    <t>MY</t>
  </si>
  <si>
    <t>Mali</t>
  </si>
  <si>
    <t>ML</t>
  </si>
  <si>
    <t>Malta</t>
  </si>
  <si>
    <t>MT</t>
  </si>
  <si>
    <t>Maritus</t>
  </si>
  <si>
    <t>MU</t>
  </si>
  <si>
    <t>Marshall Adası</t>
  </si>
  <si>
    <t>MH</t>
  </si>
  <si>
    <t>Martinique</t>
  </si>
  <si>
    <t>MQ</t>
  </si>
  <si>
    <t>Mayotte</t>
  </si>
  <si>
    <t>YT</t>
  </si>
  <si>
    <t>Meksika</t>
  </si>
  <si>
    <t>MX</t>
  </si>
  <si>
    <t>Mikronezya</t>
  </si>
  <si>
    <t>FM</t>
  </si>
  <si>
    <t>Mısır</t>
  </si>
  <si>
    <t>EG</t>
  </si>
  <si>
    <t>Moğolistan</t>
  </si>
  <si>
    <t>MN</t>
  </si>
  <si>
    <t>Moldova</t>
  </si>
  <si>
    <t>MD</t>
  </si>
  <si>
    <t>Monako</t>
  </si>
  <si>
    <t>MC</t>
  </si>
  <si>
    <t>Montserrat</t>
  </si>
  <si>
    <t>MS</t>
  </si>
  <si>
    <t>Moritanya</t>
  </si>
  <si>
    <t>MR</t>
  </si>
  <si>
    <t>Mozambik</t>
  </si>
  <si>
    <t>MZ</t>
  </si>
  <si>
    <t>Myanmar</t>
  </si>
  <si>
    <t>MM</t>
  </si>
  <si>
    <t>Namibya</t>
  </si>
  <si>
    <t>NA</t>
  </si>
  <si>
    <t>Nauru</t>
  </si>
  <si>
    <t>NR</t>
  </si>
  <si>
    <t>Nepal</t>
  </si>
  <si>
    <t>NP</t>
  </si>
  <si>
    <t>Nijer</t>
  </si>
  <si>
    <t>NE</t>
  </si>
  <si>
    <t>Nijerya</t>
  </si>
  <si>
    <t>NG</t>
  </si>
  <si>
    <t>Nikaragua</t>
  </si>
  <si>
    <t>NI</t>
  </si>
  <si>
    <t>Niue</t>
  </si>
  <si>
    <t>NU</t>
  </si>
  <si>
    <t>Norfolk Adası</t>
  </si>
  <si>
    <t>NF</t>
  </si>
  <si>
    <t>Norveç</t>
  </si>
  <si>
    <t>NO</t>
  </si>
  <si>
    <t>Orta Afrika Cumhuriyeti</t>
  </si>
  <si>
    <t>CF</t>
  </si>
  <si>
    <t>Özbekistan</t>
  </si>
  <si>
    <t>UZ</t>
  </si>
  <si>
    <t>Pakistan</t>
  </si>
  <si>
    <t>PK</t>
  </si>
  <si>
    <t>Palau</t>
  </si>
  <si>
    <t>PW</t>
  </si>
  <si>
    <t>Panama</t>
  </si>
  <si>
    <t>PA</t>
  </si>
  <si>
    <t>Papua Yeni Gine</t>
  </si>
  <si>
    <t>PG</t>
  </si>
  <si>
    <t>Paraguay</t>
  </si>
  <si>
    <t>PY</t>
  </si>
  <si>
    <t>Peru</t>
  </si>
  <si>
    <t>PE</t>
  </si>
  <si>
    <t>Pitcairn</t>
  </si>
  <si>
    <t>PN</t>
  </si>
  <si>
    <t>Polonya</t>
  </si>
  <si>
    <t>Portekiz</t>
  </si>
  <si>
    <t>PT</t>
  </si>
  <si>
    <t>Portoriko</t>
  </si>
  <si>
    <t>PR</t>
  </si>
  <si>
    <t>Reunion</t>
  </si>
  <si>
    <t>RE</t>
  </si>
  <si>
    <t>Romanya</t>
  </si>
  <si>
    <t>RO</t>
  </si>
  <si>
    <t>Ruanda</t>
  </si>
  <si>
    <t>RW</t>
  </si>
  <si>
    <t>Rusya Federasyonu</t>
  </si>
  <si>
    <t>RU</t>
  </si>
  <si>
    <t>S. Georgia ve S. Sandwich Adaları</t>
  </si>
  <si>
    <t>GS</t>
  </si>
  <si>
    <t>Saint Kitts ve Nevis</t>
  </si>
  <si>
    <t>KN</t>
  </si>
  <si>
    <t>Saint Lucia</t>
  </si>
  <si>
    <t>Saint Vincent ve Grenadinler</t>
  </si>
  <si>
    <t>VC</t>
  </si>
  <si>
    <t>Samoa</t>
  </si>
  <si>
    <t>WS</t>
  </si>
  <si>
    <t>San Marino</t>
  </si>
  <si>
    <t>Sao Tome ve Principe</t>
  </si>
  <si>
    <t>ST</t>
  </si>
  <si>
    <t>Senegal</t>
  </si>
  <si>
    <t>SN</t>
  </si>
  <si>
    <t>Seyşeller</t>
  </si>
  <si>
    <t>Sierra Leone</t>
  </si>
  <si>
    <t>Singapur</t>
  </si>
  <si>
    <t>SG</t>
  </si>
  <si>
    <t>Slovak Cumhuriyeti</t>
  </si>
  <si>
    <t>SK</t>
  </si>
  <si>
    <t>Slovenya</t>
  </si>
  <si>
    <t>SI</t>
  </si>
  <si>
    <t>Solomon Adaları</t>
  </si>
  <si>
    <t>SB</t>
  </si>
  <si>
    <t>Somali</t>
  </si>
  <si>
    <t>SO</t>
  </si>
  <si>
    <t>Sri Lanka</t>
  </si>
  <si>
    <t>LK</t>
  </si>
  <si>
    <t>SSCB (eski)</t>
  </si>
  <si>
    <t>St. Helena</t>
  </si>
  <si>
    <t>SH</t>
  </si>
  <si>
    <t>St. Pierre ve Miquelon</t>
  </si>
  <si>
    <t>PM</t>
  </si>
  <si>
    <t>Sudan</t>
  </si>
  <si>
    <t>SD</t>
  </si>
  <si>
    <t>Surinam</t>
  </si>
  <si>
    <t>SR</t>
  </si>
  <si>
    <t>Suriye</t>
  </si>
  <si>
    <t>SY</t>
  </si>
  <si>
    <t>Suudi Arabistan</t>
  </si>
  <si>
    <t>SA</t>
  </si>
  <si>
    <t>Svalbard ve Jan Mayen Adası</t>
  </si>
  <si>
    <t>SJ</t>
  </si>
  <si>
    <t>Svaziland</t>
  </si>
  <si>
    <t>SZ</t>
  </si>
  <si>
    <t>Şili</t>
  </si>
  <si>
    <t>Tacikistan</t>
  </si>
  <si>
    <t>TJ</t>
  </si>
  <si>
    <t>Tanzanya</t>
  </si>
  <si>
    <t>TZ</t>
  </si>
  <si>
    <t>Tarafsız Bölge</t>
  </si>
  <si>
    <t>NT</t>
  </si>
  <si>
    <t>Tayland</t>
  </si>
  <si>
    <t>TH</t>
  </si>
  <si>
    <t>Tayvan</t>
  </si>
  <si>
    <t>TW</t>
  </si>
  <si>
    <t>Togo</t>
  </si>
  <si>
    <t>TG</t>
  </si>
  <si>
    <t>Tokelau</t>
  </si>
  <si>
    <t>TK</t>
  </si>
  <si>
    <t>Tonga</t>
  </si>
  <si>
    <t>TO</t>
  </si>
  <si>
    <t>Trinidad ve Tobago</t>
  </si>
  <si>
    <t>TT</t>
  </si>
  <si>
    <t>Tunus</t>
  </si>
  <si>
    <t>TN</t>
  </si>
  <si>
    <t>Turks ve Caicos Adası</t>
  </si>
  <si>
    <t>TC</t>
  </si>
  <si>
    <t>Tuvalu</t>
  </si>
  <si>
    <t>TV</t>
  </si>
  <si>
    <t>TÜRKİYE</t>
  </si>
  <si>
    <t>TR</t>
  </si>
  <si>
    <t>Türkmenistan</t>
  </si>
  <si>
    <t>TM</t>
  </si>
  <si>
    <t>Uganda</t>
  </si>
  <si>
    <t>UG</t>
  </si>
  <si>
    <t>Ukrayna</t>
  </si>
  <si>
    <t>UA</t>
  </si>
  <si>
    <t>Umman</t>
  </si>
  <si>
    <t>OM</t>
  </si>
  <si>
    <t>Uruguay</t>
  </si>
  <si>
    <t>UY</t>
  </si>
  <si>
    <t>US Minor Outlying Adası</t>
  </si>
  <si>
    <t>UM</t>
  </si>
  <si>
    <t>Ürdün</t>
  </si>
  <si>
    <t>JO</t>
  </si>
  <si>
    <t>Vanuatu</t>
  </si>
  <si>
    <t>VU</t>
  </si>
  <si>
    <t>Vatikan</t>
  </si>
  <si>
    <t>VA</t>
  </si>
  <si>
    <t>Venezuela</t>
  </si>
  <si>
    <t>VE</t>
  </si>
  <si>
    <t>Vietnam</t>
  </si>
  <si>
    <t>VN</t>
  </si>
  <si>
    <t>Virgin Adası (ABD)</t>
  </si>
  <si>
    <t>VI</t>
  </si>
  <si>
    <t>Virgin Adası (İngiliz)</t>
  </si>
  <si>
    <t>VG</t>
  </si>
  <si>
    <t>Wallis ve Futuna Adası</t>
  </si>
  <si>
    <t>WF</t>
  </si>
  <si>
    <t>Yemen</t>
  </si>
  <si>
    <t>YE</t>
  </si>
  <si>
    <t>Yeni Kaledonya</t>
  </si>
  <si>
    <t>Yeni Zelanda</t>
  </si>
  <si>
    <t>NZ</t>
  </si>
  <si>
    <t>Yeşil Burun</t>
  </si>
  <si>
    <t>CV</t>
  </si>
  <si>
    <t>Yugoslavya</t>
  </si>
  <si>
    <t>YU</t>
  </si>
  <si>
    <t>Yunanistan</t>
  </si>
  <si>
    <t>GR</t>
  </si>
  <si>
    <t>Zaire (Bkz: eski Kongo - CD)</t>
  </si>
  <si>
    <t>ZR</t>
  </si>
  <si>
    <t>Zambiya</t>
  </si>
  <si>
    <t>ZM</t>
  </si>
  <si>
    <t>Zimbabve</t>
  </si>
  <si>
    <t>ZW</t>
  </si>
  <si>
    <t xml:space="preserve">THIS WORKSHEET HAS BEEN PREPARED TO DEVELOP AN UNSECURED RETAIL LENDING </t>
  </si>
  <si>
    <t xml:space="preserve"> CONTENT OF SAS CREDIT ORIGINATIONS SOLUTION</t>
  </si>
  <si>
    <t>The product strategy definition can be parametrized. Currently the strategy includes 2 products and the strategy limits are part of the parameters definition</t>
  </si>
  <si>
    <t>Model Studio</t>
  </si>
  <si>
    <t>Application Probability (BAD)</t>
  </si>
  <si>
    <t>Assigns the credit risk segment based on available scoring models, this could be updated according with cut off and scores chosen as well with characteristics of the credit bureau score</t>
  </si>
  <si>
    <t>Value</t>
  </si>
  <si>
    <t>Expert Application Scorecard developed  for originations decisions of Personal Loans in case required, but the methodology used was based on score models</t>
  </si>
  <si>
    <t>NAME</t>
  </si>
  <si>
    <t xml:space="preserve"> fake.name()</t>
  </si>
  <si>
    <t>ADDRESS</t>
  </si>
  <si>
    <t xml:space="preserve"> fake.address().replace("\n", " ")</t>
  </si>
  <si>
    <t>PHONE</t>
  </si>
  <si>
    <t xml:space="preserve"> fake.phone_number()</t>
  </si>
  <si>
    <t>EMAIL</t>
  </si>
  <si>
    <t xml:space="preserve"> fake.email()</t>
  </si>
  <si>
    <t xml:space="preserve"> generate_flag(0.97)</t>
  </si>
  <si>
    <t xml:space="preserve"> generate_customer_age()</t>
  </si>
  <si>
    <t>generate_customer_status()</t>
  </si>
  <si>
    <t xml:space="preserve"> random.randint(601, 850) if random.random() &lt; 0.6 else random.randint(250, 600)</t>
  </si>
  <si>
    <t xml:space="preserve"> random.randint(0, 50000)</t>
  </si>
  <si>
    <t xml:space="preserve"> random.randint(0, 90)</t>
  </si>
  <si>
    <t xml:space="preserve"> round(random.uniform(0.0, 1.0), 2)</t>
  </si>
  <si>
    <t xml:space="preserve"> generate_documentation_completed_flag(call_id)</t>
  </si>
  <si>
    <t xml:space="preserve"> generate_employment_type()</t>
  </si>
  <si>
    <t xml:space="preserve"> random.choices(["ID", "SC", "BS"], weights=[80, 10, 10])[0]</t>
  </si>
  <si>
    <t xml:space="preserve"> generate_random_value(0.01, 1, 12)</t>
  </si>
  <si>
    <t>random.randint(0, 2)</t>
  </si>
  <si>
    <t>random.randint(0, 5)</t>
  </si>
  <si>
    <t xml:space="preserve"> generate_flag(0.07)</t>
  </si>
  <si>
    <t xml:space="preserve"> random.randint(0, 950)</t>
  </si>
  <si>
    <t xml:space="preserve"> generate_flag(0.05)</t>
  </si>
  <si>
    <t xml:space="preserve"> generate_random_value(0.05, 250, 1800)</t>
  </si>
  <si>
    <t xml:space="preserve"> generate_random_value(0.10, 500, 3000)</t>
  </si>
  <si>
    <t xml:space="preserve"> random.choice([6, 12, 18, 24, 36])</t>
  </si>
  <si>
    <t xml:space="preserve"> random.randint(1000, 50000)</t>
  </si>
  <si>
    <t xml:space="preserve"> random.choice(["B", "F", "U"])</t>
  </si>
  <si>
    <t xml:space="preserve"> random.randint(0, 400)</t>
  </si>
  <si>
    <t xml:space="preserve"> total_cc_amount</t>
  </si>
  <si>
    <t xml:space="preserve"> random.randint(150, 1000)</t>
  </si>
  <si>
    <t xml:space="preserve"> random.randint(200, 1500)</t>
  </si>
  <si>
    <t xml:space="preserve"> random.randint(150, 400)</t>
  </si>
  <si>
    <t xml:space="preserve"> random.randint(500, 3000)</t>
  </si>
  <si>
    <t xml:space="preserve"> random.randint(0, 10)</t>
  </si>
  <si>
    <t xml:space="preserve"> random.randint(0, 3)</t>
  </si>
  <si>
    <t xml:space="preserve"> random.randint(1, 120)</t>
  </si>
  <si>
    <t xml:space="preserve"> generate_flag(0.5)</t>
  </si>
  <si>
    <t>FRAUD_FLG</t>
  </si>
  <si>
    <t xml:space="preserve"> generate_flag(0.02)</t>
  </si>
  <si>
    <t xml:space="preserve"> "Y" if call_id == 3 else "N"</t>
  </si>
  <si>
    <t xml:space="preserve"> random.choice(["PL1", "PL2"])</t>
  </si>
  <si>
    <t xml:space="preserve"> generate_flag(0.9)</t>
  </si>
  <si>
    <t xml:space="preserve"> generate_flag(0.02) </t>
  </si>
  <si>
    <t xml:space="preserve"> generate_flag(0.5),  # 50% Y50% N</t>
  </si>
  <si>
    <t xml:space="preserve"> random.randint(3000, 15000)</t>
  </si>
  <si>
    <t>documented_income</t>
  </si>
  <si>
    <t xml:space="preserve"> random.randint(6, 240)in months</t>
  </si>
  <si>
    <t xml:space="preserve"> generate_pledged_amount()</t>
  </si>
  <si>
    <t xml:space="preserve"> verified_income</t>
  </si>
  <si>
    <t xml:space="preserve"> generate_wps_lifetime()</t>
  </si>
  <si>
    <t>CUSTOMER_MONTHLY_EXPENSES</t>
  </si>
  <si>
    <t xml:space="preserve"> customer_monthly_expenses</t>
  </si>
  <si>
    <t xml:space="preserve"> call_id</t>
  </si>
  <si>
    <t>BAD</t>
  </si>
  <si>
    <t xml:space="preserve"> generate_bad_flag()Only 6% bad customers</t>
  </si>
  <si>
    <t>FORMAT</t>
  </si>
  <si>
    <t>i</t>
  </si>
  <si>
    <t>CUSTOMER_RK</t>
  </si>
  <si>
    <t>str(uuid.uuid4())</t>
  </si>
  <si>
    <t>PERMANENT_RESIDENCE_FLG</t>
  </si>
  <si>
    <t xml:space="preserve">oculaires </t>
  </si>
  <si>
    <t>duplicate: 865</t>
  </si>
  <si>
    <t>Email</t>
  </si>
  <si>
    <t>xLookup(Data Dictionary All)</t>
  </si>
  <si>
    <t>Customer Name</t>
  </si>
  <si>
    <t>Customer Address</t>
  </si>
  <si>
    <t>Customer Phone</t>
  </si>
  <si>
    <t>Customer Email</t>
  </si>
  <si>
    <t>Name</t>
  </si>
  <si>
    <t>Address</t>
  </si>
  <si>
    <t>Phone</t>
  </si>
  <si>
    <t>Customer RK</t>
  </si>
  <si>
    <t>Customer ID/Key number</t>
  </si>
  <si>
    <t>Customer Monthly Expenses</t>
  </si>
  <si>
    <t xml:space="preserve">Binary Account Default flag 1=Defaulted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</si>
</sst>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1"/>
      <color indexed="8"/>
      <name val="Calibri"/>
    </font>
    <font>
      <sz val="11"/>
      <color theme="1"/>
      <name val="Helvetica Neue"/>
      <family val="2"/>
      <scheme val="minor"/>
    </font>
    <font>
      <b/>
      <sz val="11"/>
      <color indexed="9"/>
      <name val="Tahoma"/>
      <family val="2"/>
    </font>
    <font>
      <sz val="11"/>
      <color indexed="11"/>
      <name val="Calibri"/>
      <family val="2"/>
    </font>
    <font>
      <b/>
      <sz val="11"/>
      <color indexed="8"/>
      <name val="Calibri"/>
      <family val="2"/>
    </font>
    <font>
      <b/>
      <sz val="11"/>
      <color indexed="9"/>
      <name val="Arial"/>
      <family val="2"/>
    </font>
    <font>
      <b/>
      <u/>
      <sz val="11"/>
      <color indexed="8"/>
      <name val="Calibri"/>
      <family val="2"/>
    </font>
    <font>
      <sz val="11"/>
      <color indexed="8"/>
      <name val="Calibri"/>
      <family val="2"/>
    </font>
    <font>
      <sz val="11"/>
      <name val="Calibri"/>
      <family val="2"/>
    </font>
    <font>
      <sz val="8"/>
      <name val="Calibri"/>
      <family val="2"/>
    </font>
    <font>
      <sz val="10"/>
      <name val="Calibri"/>
      <family val="2"/>
    </font>
    <font>
      <sz val="12"/>
      <color theme="1"/>
      <name val="Helvetica Neue"/>
      <family val="2"/>
      <scheme val="minor"/>
    </font>
    <font>
      <b/>
      <sz val="12"/>
      <color theme="0"/>
      <name val="Helvetica Neue"/>
      <family val="2"/>
      <scheme val="minor"/>
    </font>
    <font>
      <sz val="14"/>
      <color theme="1"/>
      <name val="Helvetica Neue"/>
      <family val="2"/>
      <scheme val="minor"/>
    </font>
    <font>
      <sz val="12"/>
      <color rgb="FFFF0000"/>
      <name val="Helvetica Neue"/>
      <family val="2"/>
      <scheme val="minor"/>
    </font>
    <font>
      <sz val="12"/>
      <color theme="4"/>
      <name val="Helvetica Neue"/>
      <family val="2"/>
      <scheme val="minor"/>
    </font>
    <font>
      <b/>
      <sz val="11"/>
      <name val="Calibri"/>
      <family val="2"/>
    </font>
    <font>
      <b/>
      <u/>
      <sz val="11"/>
      <name val="Calibri"/>
      <family val="2"/>
    </font>
    <font>
      <b/>
      <sz val="10"/>
      <color theme="0"/>
      <name val="Helvetica Neue"/>
      <family val="2"/>
      <scheme val="minor"/>
    </font>
    <font>
      <sz val="10"/>
      <color theme="1"/>
      <name val="Helvetica Neue"/>
      <family val="2"/>
      <scheme val="minor"/>
    </font>
    <font>
      <b/>
      <sz val="10"/>
      <color indexed="22"/>
      <name val="Calibri"/>
      <family val="2"/>
    </font>
    <font>
      <sz val="12"/>
      <color indexed="8"/>
      <name val="Calibri"/>
      <family val="2"/>
    </font>
    <font>
      <b/>
      <sz val="11"/>
      <color theme="0"/>
      <name val="Calibri"/>
      <family val="2"/>
    </font>
    <font>
      <b/>
      <sz val="14"/>
      <color indexed="8"/>
      <name val="Calibri"/>
      <family val="2"/>
    </font>
    <font>
      <sz val="8"/>
      <name val="Calibri"/>
    </font>
    <font>
      <b/>
      <sz val="11"/>
      <color theme="0"/>
      <name val="Helvetica Neue"/>
      <family val="2"/>
      <charset val="162"/>
      <scheme val="minor"/>
    </font>
    <font>
      <sz val="11"/>
      <color rgb="FF000000"/>
      <name val="Calibri"/>
      <family val="2"/>
    </font>
    <font>
      <sz val="10"/>
      <color rgb="FF000000"/>
      <name val="Calibri"/>
    </font>
    <font>
      <sz val="10"/>
      <color rgb="FFFF0000"/>
      <name val="Calibri"/>
    </font>
    <font>
      <b/>
      <sz val="10"/>
      <color rgb="FF000000"/>
      <name val="Calibri"/>
    </font>
    <font>
      <sz val="10"/>
      <name val="Calibri"/>
    </font>
    <font>
      <sz val="11"/>
      <color rgb="FF000000"/>
      <name val="Calibri"/>
    </font>
    <font>
      <sz val="14"/>
      <color indexed="8"/>
      <name val="Calibri"/>
      <family val="2"/>
    </font>
    <font>
      <b/>
      <sz val="11"/>
      <color theme="1"/>
      <name val="Helvetica Neue"/>
      <scheme val="minor"/>
    </font>
  </fonts>
  <fills count="14">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rgb="FFFFFF00"/>
        <bgColor indexed="64"/>
      </patternFill>
    </fill>
    <fill>
      <patternFill patternType="solid">
        <fgColor theme="0" tint="-0.249977111117893"/>
        <bgColor indexed="64"/>
      </patternFill>
    </fill>
    <fill>
      <patternFill patternType="solid">
        <fgColor rgb="FF0070C0"/>
        <bgColor indexed="64"/>
      </patternFill>
    </fill>
    <fill>
      <patternFill patternType="solid">
        <fgColor theme="0" tint="-0.14999847407452621"/>
        <bgColor indexed="64"/>
      </patternFill>
    </fill>
    <fill>
      <patternFill patternType="solid">
        <fgColor theme="0"/>
        <bgColor indexed="64"/>
      </patternFill>
    </fill>
    <fill>
      <patternFill patternType="solid">
        <fgColor rgb="FF92D050"/>
        <bgColor indexed="64"/>
      </patternFill>
    </fill>
    <fill>
      <patternFill patternType="solid">
        <fgColor rgb="FFFFFFFF"/>
        <bgColor rgb="FF000000"/>
      </patternFill>
    </fill>
    <fill>
      <patternFill patternType="solid">
        <fgColor rgb="FF92D050"/>
        <bgColor rgb="FF000000"/>
      </patternFill>
    </fill>
    <fill>
      <patternFill patternType="solid">
        <fgColor theme="8" tint="0.39997558519241921"/>
        <bgColor indexed="64"/>
      </patternFill>
    </fill>
    <fill>
      <patternFill patternType="solid">
        <fgColor theme="8"/>
        <bgColor indexed="64"/>
      </patternFill>
    </fill>
  </fills>
  <borders count="52">
    <border>
      <left/>
      <right/>
      <top/>
      <bottom/>
      <diagonal/>
    </border>
    <border>
      <left style="thin">
        <color indexed="10"/>
      </left>
      <right/>
      <top/>
      <bottom/>
      <diagonal/>
    </border>
    <border>
      <left style="thin">
        <color indexed="13"/>
      </left>
      <right style="thin">
        <color indexed="13"/>
      </right>
      <top style="thin">
        <color indexed="13"/>
      </top>
      <bottom style="thin">
        <color indexed="13"/>
      </bottom>
      <diagonal/>
    </border>
    <border>
      <left style="thin">
        <color indexed="13"/>
      </left>
      <right/>
      <top/>
      <bottom/>
      <diagonal/>
    </border>
    <border>
      <left/>
      <right/>
      <top/>
      <bottom style="thin">
        <color indexed="10"/>
      </bottom>
      <diagonal/>
    </border>
    <border>
      <left style="thin">
        <color indexed="8"/>
      </left>
      <right style="thin">
        <color indexed="8"/>
      </right>
      <top style="thin">
        <color indexed="8"/>
      </top>
      <bottom style="thin">
        <color indexed="8"/>
      </bottom>
      <diagonal/>
    </border>
    <border>
      <left style="thin">
        <color indexed="8"/>
      </left>
      <right/>
      <top/>
      <bottom style="thin">
        <color indexed="13"/>
      </bottom>
      <diagonal/>
    </border>
    <border>
      <left style="thin">
        <color indexed="8"/>
      </left>
      <right style="thin">
        <color indexed="13"/>
      </right>
      <top style="thin">
        <color indexed="8"/>
      </top>
      <bottom/>
      <diagonal/>
    </border>
    <border>
      <left style="thin">
        <color indexed="13"/>
      </left>
      <right/>
      <top style="thin">
        <color indexed="13"/>
      </top>
      <bottom style="thin">
        <color indexed="13"/>
      </bottom>
      <diagonal/>
    </border>
    <border>
      <left/>
      <right style="thin">
        <color indexed="13"/>
      </right>
      <top style="thin">
        <color indexed="13"/>
      </top>
      <bottom style="thin">
        <color indexed="13"/>
      </bottom>
      <diagonal/>
    </border>
    <border>
      <left/>
      <right/>
      <top style="thin">
        <color indexed="13"/>
      </top>
      <bottom style="thin">
        <color indexed="8"/>
      </bottom>
      <diagonal/>
    </border>
    <border>
      <left style="thin">
        <color indexed="8"/>
      </left>
      <right/>
      <top style="thin">
        <color indexed="8"/>
      </top>
      <bottom style="thin">
        <color indexed="8"/>
      </bottom>
      <diagonal/>
    </border>
    <border>
      <left style="thin">
        <color indexed="10"/>
      </left>
      <right/>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10"/>
      </left>
      <right/>
      <top style="thin">
        <color indexed="8"/>
      </top>
      <bottom style="thin">
        <color indexed="8"/>
      </bottom>
      <diagonal/>
    </border>
    <border>
      <left style="thin">
        <color indexed="8"/>
      </left>
      <right/>
      <top/>
      <bottom style="thin">
        <color indexed="8"/>
      </bottom>
      <diagonal/>
    </border>
    <border>
      <left style="thin">
        <color indexed="8"/>
      </left>
      <right/>
      <top style="thin">
        <color indexed="8"/>
      </top>
      <bottom/>
      <diagonal/>
    </border>
    <border>
      <left style="thin">
        <color indexed="10"/>
      </left>
      <right style="thin">
        <color indexed="10"/>
      </right>
      <top/>
      <bottom/>
      <diagonal/>
    </border>
    <border>
      <left style="thin">
        <color indexed="8"/>
      </left>
      <right style="thin">
        <color indexed="8"/>
      </right>
      <top/>
      <bottom/>
      <diagonal/>
    </border>
    <border>
      <left style="thin">
        <color indexed="8"/>
      </left>
      <right/>
      <top/>
      <bottom style="thin">
        <color indexed="10"/>
      </bottom>
      <diagonal/>
    </border>
    <border>
      <left/>
      <right/>
      <top style="thin">
        <color indexed="8"/>
      </top>
      <bottom style="thin">
        <color indexed="8"/>
      </bottom>
      <diagonal/>
    </border>
    <border>
      <left style="thin">
        <color indexed="8"/>
      </left>
      <right/>
      <top/>
      <bottom/>
      <diagonal/>
    </border>
    <border>
      <left/>
      <right/>
      <top/>
      <bottom style="thin">
        <color indexed="8"/>
      </bottom>
      <diagonal/>
    </border>
    <border>
      <left/>
      <right/>
      <top style="thin">
        <color indexed="8"/>
      </top>
      <bottom/>
      <diagonal/>
    </border>
    <border>
      <left style="thin">
        <color indexed="8"/>
      </left>
      <right style="thin">
        <color indexed="8"/>
      </right>
      <top/>
      <bottom style="thin">
        <color indexed="10"/>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10"/>
      </bottom>
      <diagonal/>
    </border>
    <border>
      <left/>
      <right style="thin">
        <color indexed="8"/>
      </right>
      <top/>
      <bottom style="thin">
        <color indexed="8"/>
      </bottom>
      <diagonal/>
    </border>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indexed="64"/>
      </left>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13"/>
      </left>
      <right style="thin">
        <color indexed="13"/>
      </right>
      <top/>
      <bottom style="thin">
        <color indexed="13"/>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3">
    <xf numFmtId="0" fontId="0" fillId="0" borderId="0" applyNumberFormat="0" applyFill="0" applyBorder="0" applyProtection="0"/>
    <xf numFmtId="0" fontId="11" fillId="0" borderId="30"/>
    <xf numFmtId="0" fontId="1" fillId="0" borderId="30"/>
  </cellStyleXfs>
  <cellXfs count="217">
    <xf numFmtId="0" fontId="0" fillId="0" borderId="0" xfId="0"/>
    <xf numFmtId="0" fontId="0" fillId="0" borderId="0" xfId="0" applyNumberFormat="1"/>
    <xf numFmtId="49" fontId="0" fillId="2" borderId="2" xfId="0" applyNumberFormat="1" applyFill="1" applyBorder="1" applyAlignment="1">
      <alignment vertical="center" wrapText="1"/>
    </xf>
    <xf numFmtId="0" fontId="0" fillId="2" borderId="2" xfId="0" applyFill="1" applyBorder="1" applyAlignment="1">
      <alignment vertical="center" wrapText="1"/>
    </xf>
    <xf numFmtId="0" fontId="0" fillId="2" borderId="3" xfId="0" applyFill="1" applyBorder="1"/>
    <xf numFmtId="0" fontId="0" fillId="2" borderId="4" xfId="0" applyFill="1" applyBorder="1"/>
    <xf numFmtId="0" fontId="0" fillId="2" borderId="4" xfId="0" applyNumberFormat="1" applyFill="1" applyBorder="1"/>
    <xf numFmtId="49" fontId="0" fillId="2" borderId="4" xfId="0" applyNumberFormat="1" applyFill="1" applyBorder="1"/>
    <xf numFmtId="49" fontId="0" fillId="2" borderId="5" xfId="0" applyNumberFormat="1" applyFill="1" applyBorder="1" applyAlignment="1">
      <alignment vertical="center" wrapText="1"/>
    </xf>
    <xf numFmtId="49" fontId="0" fillId="2" borderId="5" xfId="0" applyNumberFormat="1" applyFill="1" applyBorder="1" applyAlignment="1">
      <alignment horizontal="center"/>
    </xf>
    <xf numFmtId="49" fontId="0" fillId="2" borderId="5" xfId="0" applyNumberFormat="1" applyFill="1" applyBorder="1" applyAlignment="1">
      <alignment horizontal="center" vertical="center" wrapText="1"/>
    </xf>
    <xf numFmtId="49" fontId="5" fillId="3" borderId="5" xfId="0" applyNumberFormat="1" applyFont="1" applyFill="1" applyBorder="1" applyAlignment="1">
      <alignment horizontal="left" vertical="center" wrapText="1"/>
    </xf>
    <xf numFmtId="0" fontId="0" fillId="2" borderId="6" xfId="0" applyFill="1" applyBorder="1"/>
    <xf numFmtId="0" fontId="0" fillId="2" borderId="10" xfId="0" applyFill="1" applyBorder="1"/>
    <xf numFmtId="0" fontId="0" fillId="2" borderId="5" xfId="0" applyNumberFormat="1" applyFill="1" applyBorder="1" applyAlignment="1">
      <alignment horizontal="center" vertical="center" wrapText="1"/>
    </xf>
    <xf numFmtId="0" fontId="0" fillId="2" borderId="6" xfId="0" applyFill="1" applyBorder="1" applyAlignment="1">
      <alignment vertical="center"/>
    </xf>
    <xf numFmtId="0" fontId="0" fillId="2" borderId="10" xfId="0" applyFill="1" applyBorder="1" applyAlignment="1">
      <alignment vertical="center"/>
    </xf>
    <xf numFmtId="49" fontId="0" fillId="2" borderId="5" xfId="0" applyNumberFormat="1" applyFill="1" applyBorder="1"/>
    <xf numFmtId="0" fontId="0" fillId="2" borderId="20" xfId="0" applyFill="1" applyBorder="1"/>
    <xf numFmtId="0" fontId="0" fillId="2" borderId="18" xfId="0" applyFill="1" applyBorder="1" applyAlignment="1">
      <alignment vertical="center" wrapText="1"/>
    </xf>
    <xf numFmtId="0" fontId="0" fillId="2" borderId="12" xfId="0" applyFill="1" applyBorder="1" applyAlignment="1">
      <alignment vertical="center" wrapText="1"/>
    </xf>
    <xf numFmtId="0" fontId="0" fillId="2" borderId="19" xfId="0" applyFill="1" applyBorder="1" applyAlignment="1">
      <alignment vertical="center" wrapText="1"/>
    </xf>
    <xf numFmtId="0" fontId="0" fillId="2" borderId="21" xfId="0" applyFill="1" applyBorder="1" applyAlignment="1">
      <alignment vertical="center" wrapText="1"/>
    </xf>
    <xf numFmtId="49" fontId="6" fillId="2" borderId="5" xfId="0" applyNumberFormat="1" applyFont="1" applyFill="1" applyBorder="1" applyAlignment="1">
      <alignment horizontal="left" vertical="center" wrapText="1"/>
    </xf>
    <xf numFmtId="49" fontId="0" fillId="2" borderId="5" xfId="0" applyNumberFormat="1" applyFill="1" applyBorder="1" applyAlignment="1">
      <alignment horizontal="left" vertical="center" wrapText="1"/>
    </xf>
    <xf numFmtId="0" fontId="0" fillId="2" borderId="15" xfId="0" applyFill="1" applyBorder="1" applyAlignment="1">
      <alignment vertical="center" wrapText="1"/>
    </xf>
    <xf numFmtId="0" fontId="0" fillId="2" borderId="24" xfId="0" applyFill="1" applyBorder="1" applyAlignment="1">
      <alignment vertical="center" wrapText="1"/>
    </xf>
    <xf numFmtId="0" fontId="0" fillId="2" borderId="13" xfId="0" applyFill="1" applyBorder="1" applyAlignment="1">
      <alignment vertical="center" wrapText="1"/>
    </xf>
    <xf numFmtId="0" fontId="0" fillId="2" borderId="25" xfId="0" applyFill="1" applyBorder="1" applyAlignment="1">
      <alignment vertical="center" wrapText="1"/>
    </xf>
    <xf numFmtId="0" fontId="0" fillId="2" borderId="26" xfId="0" applyFill="1" applyBorder="1"/>
    <xf numFmtId="0" fontId="0" fillId="2" borderId="5" xfId="0" applyNumberFormat="1" applyFill="1" applyBorder="1" applyAlignment="1">
      <alignment horizontal="center"/>
    </xf>
    <xf numFmtId="0" fontId="0" fillId="2" borderId="27" xfId="0" applyFill="1" applyBorder="1"/>
    <xf numFmtId="0" fontId="3" fillId="2" borderId="27" xfId="0" applyFont="1" applyFill="1" applyBorder="1"/>
    <xf numFmtId="0" fontId="0" fillId="2" borderId="29" xfId="0" applyFill="1" applyBorder="1"/>
    <xf numFmtId="49" fontId="0" fillId="2" borderId="26" xfId="0" applyNumberFormat="1" applyFill="1" applyBorder="1"/>
    <xf numFmtId="0" fontId="0" fillId="2" borderId="28" xfId="0" applyFill="1" applyBorder="1"/>
    <xf numFmtId="0" fontId="0" fillId="0" borderId="30" xfId="0" applyNumberFormat="1" applyBorder="1"/>
    <xf numFmtId="49" fontId="7" fillId="2" borderId="2" xfId="0" applyNumberFormat="1" applyFont="1" applyFill="1" applyBorder="1" applyAlignment="1">
      <alignment vertical="center" wrapText="1"/>
    </xf>
    <xf numFmtId="0" fontId="0" fillId="2" borderId="30" xfId="0" applyFill="1" applyBorder="1"/>
    <xf numFmtId="0" fontId="0" fillId="2" borderId="22" xfId="0" applyFill="1" applyBorder="1"/>
    <xf numFmtId="0" fontId="0" fillId="2" borderId="23" xfId="0" applyFill="1" applyBorder="1"/>
    <xf numFmtId="49" fontId="7" fillId="2" borderId="5" xfId="0" applyNumberFormat="1" applyFont="1" applyFill="1" applyBorder="1" applyAlignment="1">
      <alignment horizontal="center"/>
    </xf>
    <xf numFmtId="49" fontId="5" fillId="3" borderId="17" xfId="0" applyNumberFormat="1" applyFont="1" applyFill="1" applyBorder="1" applyAlignment="1">
      <alignment horizontal="left" vertical="center" wrapText="1"/>
    </xf>
    <xf numFmtId="49" fontId="0" fillId="2" borderId="31" xfId="0" applyNumberFormat="1" applyFill="1" applyBorder="1" applyAlignment="1">
      <alignment horizontal="center" vertical="center"/>
    </xf>
    <xf numFmtId="49" fontId="8" fillId="2" borderId="31" xfId="0" applyNumberFormat="1" applyFont="1" applyFill="1" applyBorder="1" applyAlignment="1">
      <alignment horizontal="center" vertical="center"/>
    </xf>
    <xf numFmtId="49" fontId="7" fillId="2" borderId="30" xfId="0" applyNumberFormat="1" applyFont="1" applyFill="1" applyBorder="1" applyAlignment="1">
      <alignment vertical="top" wrapText="1"/>
    </xf>
    <xf numFmtId="49" fontId="5" fillId="3" borderId="11" xfId="0" applyNumberFormat="1" applyFont="1" applyFill="1" applyBorder="1" applyAlignment="1">
      <alignment horizontal="left" vertical="center" wrapText="1"/>
    </xf>
    <xf numFmtId="0" fontId="7" fillId="5" borderId="32" xfId="0" applyNumberFormat="1" applyFont="1" applyFill="1" applyBorder="1"/>
    <xf numFmtId="0" fontId="0" fillId="5" borderId="33" xfId="0" applyNumberFormat="1" applyFill="1" applyBorder="1"/>
    <xf numFmtId="0" fontId="7" fillId="5" borderId="34" xfId="0" applyNumberFormat="1" applyFont="1" applyFill="1" applyBorder="1"/>
    <xf numFmtId="0" fontId="0" fillId="5" borderId="30" xfId="0" applyNumberFormat="1" applyFill="1" applyBorder="1"/>
    <xf numFmtId="0" fontId="7" fillId="5" borderId="35" xfId="0" applyNumberFormat="1" applyFont="1" applyFill="1" applyBorder="1"/>
    <xf numFmtId="0" fontId="0" fillId="5" borderId="36" xfId="0" applyNumberFormat="1" applyFill="1" applyBorder="1"/>
    <xf numFmtId="49" fontId="7" fillId="2" borderId="5" xfId="0" applyNumberFormat="1" applyFont="1" applyFill="1" applyBorder="1"/>
    <xf numFmtId="49" fontId="0" fillId="2" borderId="30" xfId="0" applyNumberFormat="1" applyFill="1" applyBorder="1" applyAlignment="1">
      <alignment horizontal="left" vertical="top" wrapText="1"/>
    </xf>
    <xf numFmtId="49" fontId="0" fillId="2" borderId="30" xfId="0" applyNumberFormat="1" applyFill="1" applyBorder="1" applyAlignment="1">
      <alignment vertical="top" wrapText="1"/>
    </xf>
    <xf numFmtId="49" fontId="4" fillId="2" borderId="30" xfId="0" applyNumberFormat="1" applyFont="1" applyFill="1" applyBorder="1" applyAlignment="1">
      <alignment vertical="top"/>
    </xf>
    <xf numFmtId="49" fontId="7" fillId="2" borderId="30" xfId="0" applyNumberFormat="1" applyFont="1" applyFill="1" applyBorder="1" applyAlignment="1">
      <alignment vertical="top"/>
    </xf>
    <xf numFmtId="49" fontId="7" fillId="2" borderId="5" xfId="0" applyNumberFormat="1" applyFont="1" applyFill="1" applyBorder="1" applyAlignment="1">
      <alignment horizontal="center" vertical="center" wrapText="1"/>
    </xf>
    <xf numFmtId="0" fontId="0" fillId="2" borderId="24" xfId="0" applyFill="1" applyBorder="1"/>
    <xf numFmtId="0" fontId="0" fillId="2" borderId="30" xfId="0" applyFill="1" applyBorder="1" applyAlignment="1">
      <alignment wrapText="1"/>
    </xf>
    <xf numFmtId="0" fontId="0" fillId="0" borderId="0" xfId="0" applyNumberFormat="1" applyAlignment="1">
      <alignment horizontal="center"/>
    </xf>
    <xf numFmtId="0" fontId="0" fillId="2" borderId="30" xfId="0" applyFill="1" applyBorder="1" applyAlignment="1">
      <alignment vertical="center" wrapText="1"/>
    </xf>
    <xf numFmtId="49" fontId="6" fillId="2" borderId="21" xfId="0" applyNumberFormat="1" applyFont="1" applyFill="1" applyBorder="1" applyAlignment="1">
      <alignment horizontal="left" vertical="center" wrapText="1"/>
    </xf>
    <xf numFmtId="49" fontId="0" fillId="2" borderId="21" xfId="0" applyNumberFormat="1" applyFill="1" applyBorder="1" applyAlignment="1">
      <alignment horizontal="left" vertical="center" wrapText="1"/>
    </xf>
    <xf numFmtId="49" fontId="4" fillId="2" borderId="21" xfId="0" applyNumberFormat="1" applyFont="1" applyFill="1" applyBorder="1" applyAlignment="1">
      <alignment horizontal="center" vertical="center" wrapText="1"/>
    </xf>
    <xf numFmtId="49" fontId="0" fillId="2" borderId="21" xfId="0" applyNumberFormat="1" applyFill="1" applyBorder="1" applyAlignment="1">
      <alignment horizontal="center" vertical="center" wrapText="1"/>
    </xf>
    <xf numFmtId="0" fontId="12" fillId="6" borderId="30" xfId="1" applyFont="1" applyFill="1" applyAlignment="1">
      <alignment horizontal="center" vertical="center"/>
    </xf>
    <xf numFmtId="0" fontId="11" fillId="0" borderId="30" xfId="1" applyAlignment="1">
      <alignment horizontal="center"/>
    </xf>
    <xf numFmtId="0" fontId="11" fillId="0" borderId="30" xfId="1"/>
    <xf numFmtId="0" fontId="13" fillId="0" borderId="30" xfId="1" applyFont="1"/>
    <xf numFmtId="49" fontId="11" fillId="0" borderId="30" xfId="1" applyNumberFormat="1"/>
    <xf numFmtId="0" fontId="11" fillId="0" borderId="30" xfId="1" applyAlignment="1">
      <alignment horizontal="left"/>
    </xf>
    <xf numFmtId="0" fontId="11" fillId="0" borderId="30" xfId="1" applyAlignment="1">
      <alignment horizontal="right"/>
    </xf>
    <xf numFmtId="0" fontId="14" fillId="0" borderId="30" xfId="1" applyFont="1"/>
    <xf numFmtId="0" fontId="15" fillId="0" borderId="30" xfId="1" applyFont="1"/>
    <xf numFmtId="0" fontId="0" fillId="7" borderId="31" xfId="0" applyNumberFormat="1" applyFill="1" applyBorder="1" applyAlignment="1">
      <alignment horizontal="center" vertical="center" wrapText="1"/>
    </xf>
    <xf numFmtId="0" fontId="19" fillId="0" borderId="30" xfId="1" applyFont="1" applyAlignment="1">
      <alignment wrapText="1"/>
    </xf>
    <xf numFmtId="0" fontId="18" fillId="6" borderId="40" xfId="1" applyFont="1" applyFill="1" applyBorder="1" applyAlignment="1">
      <alignment horizontal="center" vertical="center" wrapText="1"/>
    </xf>
    <xf numFmtId="0" fontId="19" fillId="0" borderId="40" xfId="1" applyFont="1" applyBorder="1" applyAlignment="1">
      <alignment horizontal="center" vertical="center" wrapText="1"/>
    </xf>
    <xf numFmtId="0" fontId="19" fillId="0" borderId="40" xfId="1" applyFont="1" applyBorder="1" applyAlignment="1">
      <alignment horizontal="left" vertical="center" wrapText="1"/>
    </xf>
    <xf numFmtId="0" fontId="19" fillId="8" borderId="40" xfId="1" applyFont="1" applyFill="1" applyBorder="1" applyAlignment="1">
      <alignment horizontal="left" vertical="center" wrapText="1"/>
    </xf>
    <xf numFmtId="49" fontId="7" fillId="2" borderId="11" xfId="0" applyNumberFormat="1" applyFont="1" applyFill="1" applyBorder="1" applyAlignment="1">
      <alignment vertical="center" wrapText="1"/>
    </xf>
    <xf numFmtId="49" fontId="0" fillId="2" borderId="13" xfId="0" applyNumberFormat="1" applyFill="1" applyBorder="1" applyAlignment="1">
      <alignment vertical="center" wrapText="1"/>
    </xf>
    <xf numFmtId="49" fontId="0" fillId="2" borderId="30" xfId="0" applyNumberFormat="1" applyFill="1" applyBorder="1" applyAlignment="1">
      <alignment vertical="center" wrapText="1"/>
    </xf>
    <xf numFmtId="49" fontId="7" fillId="2" borderId="31" xfId="0" applyNumberFormat="1" applyFont="1" applyFill="1" applyBorder="1" applyAlignment="1">
      <alignment vertical="center" wrapText="1"/>
    </xf>
    <xf numFmtId="0" fontId="18" fillId="6" borderId="40" xfId="1" applyFont="1" applyFill="1" applyBorder="1" applyAlignment="1">
      <alignment horizontal="left" vertical="center" wrapText="1"/>
    </xf>
    <xf numFmtId="0" fontId="0" fillId="2" borderId="24" xfId="0" applyFill="1" applyBorder="1" applyAlignment="1">
      <alignment horizontal="center" vertical="center" wrapText="1"/>
    </xf>
    <xf numFmtId="0" fontId="0" fillId="2" borderId="23" xfId="0" applyFill="1" applyBorder="1" applyAlignment="1">
      <alignment horizontal="center" vertical="center" wrapText="1"/>
    </xf>
    <xf numFmtId="0" fontId="0" fillId="2" borderId="23" xfId="0" applyFill="1" applyBorder="1" applyAlignment="1">
      <alignment vertical="center" wrapText="1"/>
    </xf>
    <xf numFmtId="0" fontId="0" fillId="2" borderId="30" xfId="0" applyFill="1" applyBorder="1" applyAlignment="1">
      <alignment horizontal="center" vertical="center" wrapText="1"/>
    </xf>
    <xf numFmtId="0" fontId="0" fillId="2" borderId="1" xfId="0" applyFill="1" applyBorder="1" applyAlignment="1">
      <alignment vertical="center" wrapText="1"/>
    </xf>
    <xf numFmtId="49" fontId="10" fillId="0" borderId="31" xfId="0" applyNumberFormat="1" applyFont="1" applyFill="1" applyBorder="1" applyAlignment="1">
      <alignment horizontal="left" vertical="center" wrapText="1" shrinkToFit="1"/>
    </xf>
    <xf numFmtId="49" fontId="10" fillId="0" borderId="30" xfId="0" applyNumberFormat="1" applyFont="1" applyFill="1" applyBorder="1" applyAlignment="1">
      <alignment horizontal="left" vertical="center" wrapText="1" shrinkToFit="1"/>
    </xf>
    <xf numFmtId="49" fontId="7" fillId="2" borderId="45" xfId="0" applyNumberFormat="1" applyFont="1" applyFill="1" applyBorder="1" applyAlignment="1">
      <alignment vertical="center" wrapText="1"/>
    </xf>
    <xf numFmtId="49" fontId="2" fillId="6" borderId="31" xfId="0" applyNumberFormat="1" applyFont="1" applyFill="1" applyBorder="1" applyAlignment="1">
      <alignment horizontal="center" vertical="center" wrapText="1"/>
    </xf>
    <xf numFmtId="49" fontId="5" fillId="6" borderId="5" xfId="0" applyNumberFormat="1" applyFont="1" applyFill="1" applyBorder="1" applyAlignment="1">
      <alignment horizontal="left" vertical="center" wrapText="1"/>
    </xf>
    <xf numFmtId="49" fontId="5" fillId="6" borderId="7" xfId="0" applyNumberFormat="1" applyFont="1" applyFill="1" applyBorder="1" applyAlignment="1">
      <alignment horizontal="left" vertical="center" wrapText="1"/>
    </xf>
    <xf numFmtId="49" fontId="5" fillId="6" borderId="5" xfId="0" applyNumberFormat="1" applyFont="1" applyFill="1" applyBorder="1" applyAlignment="1">
      <alignment horizontal="center" vertical="center" wrapText="1"/>
    </xf>
    <xf numFmtId="49" fontId="5" fillId="6" borderId="17" xfId="0" applyNumberFormat="1" applyFont="1" applyFill="1" applyBorder="1" applyAlignment="1">
      <alignment horizontal="left" vertical="center" wrapText="1"/>
    </xf>
    <xf numFmtId="49" fontId="5" fillId="6" borderId="11" xfId="0" applyNumberFormat="1" applyFont="1" applyFill="1" applyBorder="1" applyAlignment="1">
      <alignment horizontal="left" vertical="center" wrapText="1"/>
    </xf>
    <xf numFmtId="49" fontId="5" fillId="6" borderId="31" xfId="0" applyNumberFormat="1" applyFont="1" applyFill="1" applyBorder="1" applyAlignment="1">
      <alignment horizontal="left" vertical="center" wrapText="1"/>
    </xf>
    <xf numFmtId="49" fontId="22" fillId="6" borderId="31" xfId="0" applyNumberFormat="1" applyFont="1" applyFill="1" applyBorder="1" applyAlignment="1">
      <alignment horizontal="center" vertical="center" wrapText="1"/>
    </xf>
    <xf numFmtId="49" fontId="22" fillId="6" borderId="5" xfId="0" applyNumberFormat="1" applyFont="1" applyFill="1" applyBorder="1" applyAlignment="1">
      <alignment horizontal="center" vertical="center" wrapText="1"/>
    </xf>
    <xf numFmtId="49" fontId="22" fillId="6" borderId="14" xfId="0" applyNumberFormat="1" applyFont="1" applyFill="1" applyBorder="1" applyAlignment="1">
      <alignment horizontal="center" vertical="center" wrapText="1"/>
    </xf>
    <xf numFmtId="0" fontId="7" fillId="0" borderId="0" xfId="0" applyFont="1"/>
    <xf numFmtId="0" fontId="23" fillId="0" borderId="0" xfId="0" applyFont="1"/>
    <xf numFmtId="17" fontId="0" fillId="0" borderId="0" xfId="0" applyNumberFormat="1"/>
    <xf numFmtId="49" fontId="0" fillId="2" borderId="30" xfId="0" applyNumberFormat="1" applyFill="1" applyBorder="1"/>
    <xf numFmtId="0" fontId="0" fillId="2" borderId="30" xfId="0" applyFill="1" applyBorder="1" applyAlignment="1">
      <alignment vertical="center"/>
    </xf>
    <xf numFmtId="0" fontId="0" fillId="2" borderId="23" xfId="0" applyFill="1" applyBorder="1" applyAlignment="1">
      <alignment vertical="center"/>
    </xf>
    <xf numFmtId="0" fontId="0" fillId="2" borderId="21" xfId="0" applyFill="1" applyBorder="1"/>
    <xf numFmtId="0" fontId="0" fillId="2" borderId="21" xfId="0" applyFill="1" applyBorder="1" applyAlignment="1">
      <alignment horizontal="center" vertical="center" wrapText="1"/>
    </xf>
    <xf numFmtId="49" fontId="0" fillId="2" borderId="21" xfId="0" applyNumberFormat="1" applyFill="1" applyBorder="1" applyAlignment="1">
      <alignment vertical="center" wrapText="1"/>
    </xf>
    <xf numFmtId="49" fontId="8" fillId="4" borderId="5" xfId="0" applyNumberFormat="1" applyFont="1" applyFill="1" applyBorder="1" applyAlignment="1">
      <alignment horizontal="left" vertical="center" wrapText="1"/>
    </xf>
    <xf numFmtId="0" fontId="7" fillId="0" borderId="30" xfId="0" applyNumberFormat="1" applyFont="1" applyBorder="1"/>
    <xf numFmtId="0" fontId="19" fillId="9" borderId="40" xfId="1" applyFont="1" applyFill="1" applyBorder="1" applyAlignment="1">
      <alignment horizontal="left" vertical="center" wrapText="1"/>
    </xf>
    <xf numFmtId="49" fontId="7" fillId="9" borderId="31" xfId="0" applyNumberFormat="1" applyFont="1" applyFill="1" applyBorder="1" applyAlignment="1">
      <alignment horizontal="left" vertical="center" wrapText="1"/>
    </xf>
    <xf numFmtId="49" fontId="6" fillId="9" borderId="31" xfId="0" applyNumberFormat="1" applyFont="1" applyFill="1" applyBorder="1" applyAlignment="1">
      <alignment horizontal="left" vertical="center" wrapText="1"/>
    </xf>
    <xf numFmtId="49" fontId="8" fillId="9" borderId="31" xfId="0" applyNumberFormat="1" applyFont="1" applyFill="1" applyBorder="1" applyAlignment="1">
      <alignment horizontal="left" vertical="center" wrapText="1"/>
    </xf>
    <xf numFmtId="49" fontId="7" fillId="9" borderId="31" xfId="0" applyNumberFormat="1" applyFont="1" applyFill="1" applyBorder="1" applyAlignment="1">
      <alignment horizontal="center"/>
    </xf>
    <xf numFmtId="49" fontId="0" fillId="9" borderId="5" xfId="0" applyNumberFormat="1" applyFill="1" applyBorder="1" applyAlignment="1">
      <alignment horizontal="center" vertical="center" wrapText="1"/>
    </xf>
    <xf numFmtId="49" fontId="8" fillId="9" borderId="5" xfId="0" applyNumberFormat="1" applyFont="1" applyFill="1" applyBorder="1" applyAlignment="1">
      <alignment horizontal="center" vertical="center" wrapText="1"/>
    </xf>
    <xf numFmtId="49" fontId="6" fillId="9" borderId="5" xfId="0" applyNumberFormat="1" applyFont="1" applyFill="1" applyBorder="1" applyAlignment="1">
      <alignment horizontal="left" vertical="center" wrapText="1"/>
    </xf>
    <xf numFmtId="49" fontId="0" fillId="9" borderId="5" xfId="0" applyNumberFormat="1" applyFill="1" applyBorder="1" applyAlignment="1">
      <alignment horizontal="left" vertical="center" wrapText="1"/>
    </xf>
    <xf numFmtId="49" fontId="8" fillId="9" borderId="5" xfId="0" applyNumberFormat="1" applyFont="1" applyFill="1" applyBorder="1" applyAlignment="1">
      <alignment horizontal="left" vertical="center" wrapText="1"/>
    </xf>
    <xf numFmtId="49" fontId="4" fillId="9" borderId="5" xfId="0" applyNumberFormat="1" applyFont="1" applyFill="1" applyBorder="1" applyAlignment="1">
      <alignment horizontal="center" vertical="center" wrapText="1"/>
    </xf>
    <xf numFmtId="49" fontId="7" fillId="9" borderId="5" xfId="0" applyNumberFormat="1" applyFont="1" applyFill="1" applyBorder="1" applyAlignment="1">
      <alignment horizontal="left" vertical="center" wrapText="1"/>
    </xf>
    <xf numFmtId="49" fontId="16" fillId="9" borderId="5" xfId="0" applyNumberFormat="1" applyFont="1" applyFill="1" applyBorder="1" applyAlignment="1">
      <alignment horizontal="center" vertical="center" wrapText="1"/>
    </xf>
    <xf numFmtId="49" fontId="17" fillId="9" borderId="5" xfId="0" applyNumberFormat="1" applyFont="1" applyFill="1" applyBorder="1" applyAlignment="1">
      <alignment horizontal="left" vertical="center" wrapText="1"/>
    </xf>
    <xf numFmtId="49" fontId="0" fillId="9" borderId="5" xfId="0" applyNumberFormat="1" applyFill="1" applyBorder="1" applyAlignment="1">
      <alignment vertical="center" wrapText="1"/>
    </xf>
    <xf numFmtId="0" fontId="0" fillId="9" borderId="22" xfId="0" applyFill="1" applyBorder="1"/>
    <xf numFmtId="10" fontId="26" fillId="0" borderId="31" xfId="0" applyNumberFormat="1" applyFont="1" applyFill="1" applyBorder="1"/>
    <xf numFmtId="49" fontId="4" fillId="2" borderId="0" xfId="0" applyNumberFormat="1" applyFont="1" applyFill="1" applyAlignment="1">
      <alignment vertical="top"/>
    </xf>
    <xf numFmtId="49" fontId="0" fillId="2" borderId="37" xfId="0" applyNumberFormat="1" applyFill="1" applyBorder="1" applyAlignment="1">
      <alignment vertical="top"/>
    </xf>
    <xf numFmtId="49" fontId="8" fillId="9" borderId="16" xfId="0" applyNumberFormat="1" applyFont="1" applyFill="1" applyBorder="1" applyAlignment="1">
      <alignment horizontal="left" vertical="center" wrapText="1"/>
    </xf>
    <xf numFmtId="0" fontId="16" fillId="9" borderId="5" xfId="0" applyFont="1" applyFill="1" applyBorder="1" applyAlignment="1">
      <alignment horizontal="center" vertical="center" wrapText="1"/>
    </xf>
    <xf numFmtId="0" fontId="19" fillId="4" borderId="40" xfId="1" applyFont="1" applyFill="1" applyBorder="1" applyAlignment="1">
      <alignment horizontal="center" vertical="center" wrapText="1"/>
    </xf>
    <xf numFmtId="0" fontId="26" fillId="10" borderId="48" xfId="0" applyFont="1" applyFill="1" applyBorder="1"/>
    <xf numFmtId="0" fontId="26" fillId="10" borderId="49" xfId="0" applyFont="1" applyFill="1" applyBorder="1"/>
    <xf numFmtId="0" fontId="31" fillId="10" borderId="49" xfId="0" applyFont="1" applyFill="1" applyBorder="1"/>
    <xf numFmtId="0" fontId="26" fillId="11" borderId="50" xfId="0" applyFont="1" applyFill="1" applyBorder="1"/>
    <xf numFmtId="0" fontId="26" fillId="11" borderId="51" xfId="0" applyFont="1" applyFill="1" applyBorder="1"/>
    <xf numFmtId="0" fontId="31" fillId="11" borderId="51" xfId="0" applyFont="1" applyFill="1" applyBorder="1"/>
    <xf numFmtId="0" fontId="31" fillId="11" borderId="51" xfId="0" applyFont="1" applyFill="1" applyBorder="1" applyAlignment="1">
      <alignment wrapText="1"/>
    </xf>
    <xf numFmtId="0" fontId="31" fillId="10" borderId="51" xfId="0" applyFont="1" applyFill="1" applyBorder="1" applyAlignment="1">
      <alignment wrapText="1"/>
    </xf>
    <xf numFmtId="0" fontId="31" fillId="10" borderId="51" xfId="0" applyFont="1" applyFill="1" applyBorder="1"/>
    <xf numFmtId="0" fontId="32" fillId="0" borderId="0" xfId="0" applyNumberFormat="1" applyFont="1"/>
    <xf numFmtId="0" fontId="0" fillId="0" borderId="5" xfId="0" applyNumberFormat="1" applyFill="1" applyBorder="1" applyAlignment="1">
      <alignment horizontal="center" vertical="center" wrapText="1"/>
    </xf>
    <xf numFmtId="49" fontId="7" fillId="0" borderId="5" xfId="0" applyNumberFormat="1" applyFont="1" applyFill="1" applyBorder="1" applyAlignment="1">
      <alignment vertical="center" wrapText="1"/>
    </xf>
    <xf numFmtId="49" fontId="0" fillId="0" borderId="5" xfId="0" applyNumberFormat="1" applyFill="1" applyBorder="1" applyAlignment="1">
      <alignment vertical="center" wrapText="1"/>
    </xf>
    <xf numFmtId="49" fontId="7" fillId="0" borderId="5" xfId="0" applyNumberFormat="1" applyFont="1" applyFill="1" applyBorder="1"/>
    <xf numFmtId="49" fontId="0" fillId="0" borderId="5" xfId="0" applyNumberFormat="1" applyFill="1" applyBorder="1"/>
    <xf numFmtId="49" fontId="0" fillId="0" borderId="5" xfId="0" applyNumberFormat="1" applyFill="1" applyBorder="1" applyAlignment="1">
      <alignment horizontal="center" vertical="center" wrapText="1"/>
    </xf>
    <xf numFmtId="49" fontId="0" fillId="0" borderId="5" xfId="0" applyNumberFormat="1" applyFill="1" applyBorder="1" applyAlignment="1">
      <alignment horizontal="center"/>
    </xf>
    <xf numFmtId="49" fontId="7" fillId="0" borderId="5" xfId="0" applyNumberFormat="1" applyFont="1" applyFill="1" applyBorder="1" applyAlignment="1">
      <alignment horizontal="center"/>
    </xf>
    <xf numFmtId="3" fontId="8" fillId="0" borderId="5" xfId="0" applyNumberFormat="1" applyFont="1" applyFill="1" applyBorder="1" applyAlignment="1">
      <alignment horizontal="center" vertical="center" wrapText="1"/>
    </xf>
    <xf numFmtId="49" fontId="8" fillId="0" borderId="5" xfId="0" applyNumberFormat="1" applyFont="1" applyFill="1" applyBorder="1" applyAlignment="1">
      <alignment horizontal="center" vertical="center" wrapText="1"/>
    </xf>
    <xf numFmtId="3" fontId="8" fillId="0" borderId="5" xfId="0" applyNumberFormat="1" applyFont="1" applyFill="1" applyBorder="1" applyAlignment="1">
      <alignment horizontal="center"/>
    </xf>
    <xf numFmtId="49" fontId="7" fillId="12" borderId="5" xfId="0" applyNumberFormat="1" applyFont="1" applyFill="1" applyBorder="1"/>
    <xf numFmtId="49" fontId="7" fillId="12" borderId="5" xfId="0" applyNumberFormat="1" applyFont="1" applyFill="1" applyBorder="1" applyAlignment="1">
      <alignment horizontal="center"/>
    </xf>
    <xf numFmtId="49" fontId="0" fillId="12" borderId="5" xfId="0" applyNumberFormat="1" applyFill="1" applyBorder="1" applyAlignment="1">
      <alignment horizontal="center"/>
    </xf>
    <xf numFmtId="0" fontId="7" fillId="0" borderId="0" xfId="0" applyNumberFormat="1" applyFont="1"/>
    <xf numFmtId="49" fontId="0" fillId="13" borderId="5" xfId="0" applyNumberFormat="1" applyFill="1" applyBorder="1" applyAlignment="1">
      <alignment horizontal="center"/>
    </xf>
    <xf numFmtId="49" fontId="7" fillId="13" borderId="5" xfId="0" applyNumberFormat="1" applyFont="1" applyFill="1" applyBorder="1" applyAlignment="1">
      <alignment horizontal="center"/>
    </xf>
    <xf numFmtId="0" fontId="0" fillId="0" borderId="0" xfId="0" applyNumberFormat="1" applyFill="1"/>
    <xf numFmtId="10" fontId="7" fillId="0" borderId="31" xfId="0" applyNumberFormat="1" applyFont="1" applyFill="1" applyBorder="1" applyAlignment="1">
      <alignment horizontal="center"/>
    </xf>
    <xf numFmtId="10" fontId="0" fillId="0" borderId="31" xfId="0" applyNumberFormat="1" applyFill="1" applyBorder="1"/>
    <xf numFmtId="0" fontId="25" fillId="13" borderId="31" xfId="0" applyFont="1" applyFill="1" applyBorder="1" applyAlignment="1">
      <alignment horizontal="center" vertical="center" wrapText="1"/>
    </xf>
    <xf numFmtId="49" fontId="8" fillId="0" borderId="5" xfId="0" applyNumberFormat="1" applyFont="1" applyFill="1" applyBorder="1" applyAlignment="1">
      <alignment horizontal="left" vertical="center" wrapText="1"/>
    </xf>
    <xf numFmtId="0" fontId="1" fillId="0" borderId="30" xfId="2"/>
    <xf numFmtId="0" fontId="33" fillId="0" borderId="30" xfId="2" applyFont="1"/>
    <xf numFmtId="0" fontId="19" fillId="0" borderId="40" xfId="1" applyFont="1" applyBorder="1" applyAlignment="1">
      <alignment horizontal="right" vertical="center" wrapText="1"/>
    </xf>
    <xf numFmtId="0" fontId="19" fillId="4" borderId="40" xfId="1" applyFont="1" applyFill="1" applyBorder="1" applyAlignment="1">
      <alignment horizontal="left" vertical="center" wrapText="1"/>
    </xf>
    <xf numFmtId="0" fontId="19" fillId="0" borderId="30" xfId="1" applyFont="1" applyAlignment="1">
      <alignment horizontal="center" wrapText="1"/>
    </xf>
    <xf numFmtId="49" fontId="0" fillId="2" borderId="8" xfId="0" applyNumberFormat="1" applyFill="1" applyBorder="1" applyAlignment="1">
      <alignment horizontal="left" vertical="center" wrapText="1"/>
    </xf>
    <xf numFmtId="0" fontId="0" fillId="2" borderId="9" xfId="0" applyFill="1" applyBorder="1" applyAlignment="1">
      <alignment horizontal="left" vertical="center" wrapText="1"/>
    </xf>
    <xf numFmtId="49" fontId="7" fillId="2" borderId="8" xfId="0" applyNumberFormat="1" applyFont="1" applyFill="1" applyBorder="1" applyAlignment="1">
      <alignment horizontal="left" vertical="center" wrapText="1"/>
    </xf>
    <xf numFmtId="49" fontId="4" fillId="2" borderId="31" xfId="0" applyNumberFormat="1" applyFont="1" applyFill="1" applyBorder="1" applyAlignment="1">
      <alignment horizontal="left" vertical="top"/>
    </xf>
    <xf numFmtId="0" fontId="0" fillId="2" borderId="31" xfId="0" applyFill="1" applyBorder="1" applyAlignment="1">
      <alignment horizontal="left"/>
    </xf>
    <xf numFmtId="0" fontId="0" fillId="2" borderId="31" xfId="0" applyFill="1" applyBorder="1"/>
    <xf numFmtId="49" fontId="0" fillId="2" borderId="31" xfId="0" applyNumberFormat="1" applyFill="1" applyBorder="1" applyAlignment="1">
      <alignment horizontal="left" vertical="top" wrapText="1"/>
    </xf>
    <xf numFmtId="0" fontId="0" fillId="2" borderId="31" xfId="0" applyFill="1" applyBorder="1" applyAlignment="1">
      <alignment horizontal="left" wrapText="1"/>
    </xf>
    <xf numFmtId="0" fontId="0" fillId="2" borderId="31" xfId="0" applyFill="1" applyBorder="1" applyAlignment="1">
      <alignment wrapText="1"/>
    </xf>
    <xf numFmtId="49" fontId="7" fillId="2" borderId="30" xfId="0" applyNumberFormat="1" applyFont="1" applyFill="1" applyBorder="1" applyAlignment="1">
      <alignment horizontal="left" vertical="top" wrapText="1"/>
    </xf>
    <xf numFmtId="49" fontId="4" fillId="2" borderId="30" xfId="0" applyNumberFormat="1" applyFont="1" applyFill="1" applyBorder="1" applyAlignment="1">
      <alignment horizontal="left" vertical="top"/>
    </xf>
    <xf numFmtId="49" fontId="7" fillId="2" borderId="31" xfId="0" applyNumberFormat="1" applyFont="1" applyFill="1" applyBorder="1" applyAlignment="1">
      <alignment horizontal="left" vertical="top" wrapText="1"/>
    </xf>
    <xf numFmtId="0" fontId="0" fillId="0" borderId="31" xfId="0" applyFill="1" applyBorder="1" applyAlignment="1">
      <alignment horizontal="center" vertical="center" wrapText="1"/>
    </xf>
    <xf numFmtId="10" fontId="0" fillId="0" borderId="31" xfId="0" applyNumberFormat="1" applyFill="1" applyBorder="1" applyAlignment="1">
      <alignment horizontal="center" vertical="center"/>
    </xf>
    <xf numFmtId="0" fontId="0" fillId="0" borderId="41" xfId="0" applyFill="1" applyBorder="1" applyAlignment="1">
      <alignment horizontal="center" vertical="center" wrapText="1"/>
    </xf>
    <xf numFmtId="0" fontId="0" fillId="0" borderId="46" xfId="0" applyFill="1" applyBorder="1" applyAlignment="1">
      <alignment horizontal="center" vertical="center" wrapText="1"/>
    </xf>
    <xf numFmtId="0" fontId="0" fillId="0" borderId="47" xfId="0" applyFill="1" applyBorder="1" applyAlignment="1">
      <alignment horizontal="center" vertical="center" wrapText="1"/>
    </xf>
    <xf numFmtId="10" fontId="0" fillId="0" borderId="41" xfId="0" applyNumberFormat="1" applyFill="1" applyBorder="1" applyAlignment="1">
      <alignment horizontal="center" vertical="center"/>
    </xf>
    <xf numFmtId="10" fontId="0" fillId="0" borderId="46" xfId="0" applyNumberFormat="1" applyFill="1" applyBorder="1" applyAlignment="1">
      <alignment horizontal="center" vertical="center"/>
    </xf>
    <xf numFmtId="10" fontId="0" fillId="0" borderId="47" xfId="0" applyNumberFormat="1" applyFill="1" applyBorder="1" applyAlignment="1">
      <alignment horizontal="center" vertical="center"/>
    </xf>
    <xf numFmtId="49" fontId="7" fillId="2" borderId="37" xfId="0" applyNumberFormat="1" applyFont="1" applyFill="1" applyBorder="1" applyAlignment="1">
      <alignment horizontal="left" vertical="top" wrapText="1"/>
    </xf>
    <xf numFmtId="49" fontId="0" fillId="2" borderId="30" xfId="0" applyNumberFormat="1" applyFill="1" applyBorder="1" applyAlignment="1">
      <alignment horizontal="left" vertical="top" wrapText="1"/>
    </xf>
    <xf numFmtId="49" fontId="21" fillId="2" borderId="17" xfId="0" applyNumberFormat="1" applyFont="1" applyFill="1" applyBorder="1" applyAlignment="1">
      <alignment horizontal="left" vertical="center" wrapText="1"/>
    </xf>
    <xf numFmtId="49" fontId="21" fillId="2" borderId="24" xfId="0" applyNumberFormat="1" applyFont="1" applyFill="1" applyBorder="1" applyAlignment="1">
      <alignment horizontal="left" vertical="center" wrapText="1"/>
    </xf>
    <xf numFmtId="49" fontId="10" fillId="9" borderId="31" xfId="0" applyNumberFormat="1" applyFont="1" applyFill="1" applyBorder="1" applyAlignment="1">
      <alignment horizontal="left" vertical="center" wrapText="1" shrinkToFit="1"/>
    </xf>
    <xf numFmtId="0" fontId="20" fillId="9" borderId="31" xfId="0" applyFont="1" applyFill="1" applyBorder="1" applyAlignment="1">
      <alignment horizontal="left" vertical="center" wrapText="1" shrinkToFit="1"/>
    </xf>
    <xf numFmtId="49" fontId="10" fillId="0" borderId="31" xfId="0" applyNumberFormat="1" applyFont="1" applyFill="1" applyBorder="1" applyAlignment="1">
      <alignment horizontal="left" vertical="center" wrapText="1" shrinkToFit="1"/>
    </xf>
    <xf numFmtId="0" fontId="20" fillId="0" borderId="31" xfId="0" applyFont="1" applyFill="1" applyBorder="1" applyAlignment="1">
      <alignment horizontal="left" vertical="center" wrapText="1" shrinkToFit="1"/>
    </xf>
    <xf numFmtId="49" fontId="30" fillId="9" borderId="31" xfId="0" applyNumberFormat="1" applyFont="1" applyFill="1" applyBorder="1" applyAlignment="1">
      <alignment horizontal="left" vertical="center" wrapText="1" shrinkToFit="1"/>
    </xf>
    <xf numFmtId="49" fontId="10" fillId="9" borderId="42" xfId="0" applyNumberFormat="1" applyFont="1" applyFill="1" applyBorder="1" applyAlignment="1">
      <alignment horizontal="left" vertical="center" wrapText="1" shrinkToFit="1"/>
    </xf>
    <xf numFmtId="49" fontId="10" fillId="9" borderId="43" xfId="0" applyNumberFormat="1" applyFont="1" applyFill="1" applyBorder="1" applyAlignment="1">
      <alignment horizontal="left" vertical="center" wrapText="1" shrinkToFit="1"/>
    </xf>
    <xf numFmtId="49" fontId="10" fillId="9" borderId="44" xfId="0" applyNumberFormat="1" applyFont="1" applyFill="1" applyBorder="1" applyAlignment="1">
      <alignment horizontal="left" vertical="center" wrapText="1" shrinkToFit="1"/>
    </xf>
    <xf numFmtId="49" fontId="7" fillId="2" borderId="11" xfId="0" applyNumberFormat="1" applyFont="1" applyFill="1" applyBorder="1" applyAlignment="1">
      <alignment horizontal="left" vertical="center" wrapText="1"/>
    </xf>
    <xf numFmtId="49" fontId="0" fillId="2" borderId="21" xfId="0" applyNumberFormat="1" applyFill="1" applyBorder="1" applyAlignment="1">
      <alignment horizontal="left" vertical="center" wrapText="1"/>
    </xf>
    <xf numFmtId="49" fontId="0" fillId="2" borderId="13" xfId="0" applyNumberFormat="1" applyFill="1" applyBorder="1" applyAlignment="1">
      <alignment horizontal="left" vertical="center" wrapText="1"/>
    </xf>
    <xf numFmtId="49" fontId="7" fillId="2" borderId="5" xfId="0" applyNumberFormat="1" applyFont="1" applyFill="1" applyBorder="1" applyAlignment="1">
      <alignment horizontal="left" vertical="center" wrapText="1"/>
    </xf>
    <xf numFmtId="0" fontId="0" fillId="2" borderId="5" xfId="0" applyFill="1" applyBorder="1" applyAlignment="1">
      <alignment horizontal="left" vertical="center" wrapText="1"/>
    </xf>
    <xf numFmtId="49" fontId="10" fillId="9" borderId="41" xfId="0" applyNumberFormat="1" applyFont="1" applyFill="1" applyBorder="1" applyAlignment="1">
      <alignment horizontal="left" vertical="center" wrapText="1" shrinkToFit="1"/>
    </xf>
    <xf numFmtId="0" fontId="20" fillId="9" borderId="41" xfId="0" applyFont="1" applyFill="1" applyBorder="1" applyAlignment="1">
      <alignment horizontal="left" vertical="center" wrapText="1" shrinkToFit="1"/>
    </xf>
    <xf numFmtId="0" fontId="18" fillId="6" borderId="38" xfId="1" applyFont="1" applyFill="1" applyBorder="1" applyAlignment="1">
      <alignment horizontal="center" vertical="center" wrapText="1"/>
    </xf>
    <xf numFmtId="0" fontId="18" fillId="6" borderId="39" xfId="1" applyFont="1" applyFill="1" applyBorder="1" applyAlignment="1">
      <alignment horizontal="center" vertical="center" wrapText="1"/>
    </xf>
    <xf numFmtId="0" fontId="12" fillId="6" borderId="30" xfId="1" applyFont="1" applyFill="1" applyAlignment="1">
      <alignment horizontal="center" vertical="center"/>
    </xf>
  </cellXfs>
  <cellStyles count="3">
    <cellStyle name="Normal" xfId="0" builtinId="0"/>
    <cellStyle name="Normal 2" xfId="1" xr:uid="{A87624CC-AB89-4CA0-A21E-681D09CF6572}"/>
    <cellStyle name="Normal 3" xfId="2" xr:uid="{D7A6FE14-CC32-44A1-BC23-7E9EAD785237}"/>
  </cellStyles>
  <dxfs count="1">
    <dxf>
      <font>
        <color rgb="FFFF0000"/>
      </font>
    </dxf>
  </dxfs>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FF0000"/>
      <rgbColor rgb="FF1F497D"/>
      <rgbColor rgb="FFD8D8D8"/>
      <rgbColor rgb="FF00B0F0"/>
      <rgbColor rgb="FFD6E3BC"/>
      <rgbColor rgb="FFA7A7A7"/>
      <rgbColor rgb="FFFFFF00"/>
      <rgbColor rgb="FF969696"/>
      <rgbColor rgb="FFE5DFEC"/>
      <rgbColor rgb="FFBFBFBF"/>
      <rgbColor rgb="FFB6DDE8"/>
      <rgbColor rgb="FF9C0006"/>
      <rgbColor rgb="00000000"/>
      <rgbColor rgb="FFFFC7CE"/>
      <rgbColor rgb="FFB97034"/>
      <rgbColor rgb="FFFABF8F"/>
      <rgbColor rgb="FFE5B8B7"/>
      <rgbColor rgb="FF0070C0"/>
      <rgbColor rgb="FF4F81BD"/>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45718" tIns="45718" rIns="45718" bIns="45718"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FAB13-9CB5-4B34-B6A1-1912AB446DDD}">
  <dimension ref="B5:B11"/>
  <sheetViews>
    <sheetView showGridLines="0" workbookViewId="0">
      <selection activeCell="L28" sqref="L28"/>
    </sheetView>
  </sheetViews>
  <sheetFormatPr defaultRowHeight="14.4"/>
  <cols>
    <col min="2" max="2" width="13.44140625" customWidth="1"/>
  </cols>
  <sheetData>
    <row r="5" spans="2:2" ht="18">
      <c r="B5" s="106" t="s">
        <v>2427</v>
      </c>
    </row>
    <row r="6" spans="2:2" ht="18">
      <c r="B6" s="106" t="s">
        <v>2428</v>
      </c>
    </row>
    <row r="10" spans="2:2">
      <c r="B10" s="107">
        <v>45226</v>
      </c>
    </row>
    <row r="11" spans="2:2">
      <c r="B11" s="105"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2:C77"/>
  <sheetViews>
    <sheetView showGridLines="0" zoomScale="70" zoomScaleNormal="70" workbookViewId="0">
      <selection activeCell="A2" sqref="A2"/>
    </sheetView>
  </sheetViews>
  <sheetFormatPr defaultColWidth="8.77734375" defaultRowHeight="15" customHeight="1"/>
  <cols>
    <col min="1" max="1" width="31.5546875" style="1" customWidth="1"/>
    <col min="2" max="2" width="59" style="1" customWidth="1"/>
    <col min="3" max="3" width="57.77734375" style="1" customWidth="1"/>
    <col min="4" max="246" width="8.77734375" style="1" customWidth="1"/>
    <col min="247" max="16384" width="8.77734375" style="1"/>
  </cols>
  <sheetData>
    <row r="2" spans="1:3" ht="15" customHeight="1">
      <c r="A2" s="147" t="s">
        <v>2429</v>
      </c>
    </row>
    <row r="4" spans="1:3" ht="30.75" customHeight="1">
      <c r="A4" s="95" t="s">
        <v>1</v>
      </c>
      <c r="B4" s="95" t="s">
        <v>2</v>
      </c>
      <c r="C4" s="95" t="s">
        <v>3</v>
      </c>
    </row>
    <row r="5" spans="1:3" ht="245.25" customHeight="1">
      <c r="A5" s="94" t="s">
        <v>4</v>
      </c>
      <c r="B5" s="94" t="s">
        <v>5</v>
      </c>
      <c r="C5" s="94" t="s">
        <v>6</v>
      </c>
    </row>
    <row r="6" spans="1:3" ht="28.8">
      <c r="A6" s="37" t="s">
        <v>7</v>
      </c>
      <c r="B6" s="37" t="s">
        <v>8</v>
      </c>
      <c r="C6" s="37" t="s">
        <v>9</v>
      </c>
    </row>
    <row r="7" spans="1:3" ht="28.8">
      <c r="A7" s="37" t="s">
        <v>10</v>
      </c>
      <c r="B7" s="37" t="s">
        <v>11</v>
      </c>
      <c r="C7" s="37" t="s">
        <v>9</v>
      </c>
    </row>
    <row r="8" spans="1:3" ht="32.1" customHeight="1">
      <c r="A8" s="2" t="s">
        <v>12</v>
      </c>
      <c r="B8" s="37" t="s">
        <v>13</v>
      </c>
      <c r="C8" s="37" t="s">
        <v>14</v>
      </c>
    </row>
    <row r="9" spans="1:3" ht="28.8">
      <c r="A9" s="37" t="s">
        <v>15</v>
      </c>
      <c r="B9" s="37" t="s">
        <v>16</v>
      </c>
      <c r="C9" s="37" t="s">
        <v>9</v>
      </c>
    </row>
    <row r="10" spans="1:3" ht="28.8">
      <c r="A10" s="37" t="s">
        <v>17</v>
      </c>
      <c r="B10" s="37" t="s">
        <v>18</v>
      </c>
      <c r="C10" s="37" t="s">
        <v>9</v>
      </c>
    </row>
    <row r="11" spans="1:3" ht="28.8">
      <c r="A11" s="2" t="s">
        <v>19</v>
      </c>
      <c r="B11" s="37" t="s">
        <v>20</v>
      </c>
      <c r="C11" s="37" t="s">
        <v>9</v>
      </c>
    </row>
    <row r="12" spans="1:3" ht="56.25" customHeight="1">
      <c r="A12" s="2" t="s">
        <v>21</v>
      </c>
      <c r="B12" s="37" t="s">
        <v>22</v>
      </c>
      <c r="C12" s="3"/>
    </row>
    <row r="67" spans="1:2" ht="15" customHeight="1">
      <c r="A67" s="108" t="s">
        <v>23</v>
      </c>
      <c r="B67" s="38"/>
    </row>
    <row r="68" spans="1:2" ht="15" customHeight="1">
      <c r="A68" s="108" t="s">
        <v>24</v>
      </c>
      <c r="B68" s="38"/>
    </row>
    <row r="69" spans="1:2" ht="15" customHeight="1">
      <c r="A69" s="38"/>
      <c r="B69" s="38"/>
    </row>
    <row r="70" spans="1:2" ht="15" customHeight="1">
      <c r="A70" s="38"/>
      <c r="B70" s="38"/>
    </row>
    <row r="71" spans="1:2" ht="15" customHeight="1">
      <c r="A71" s="38"/>
      <c r="B71" s="38"/>
    </row>
    <row r="72" spans="1:2" ht="15" customHeight="1">
      <c r="A72" s="38"/>
      <c r="B72" s="38"/>
    </row>
    <row r="73" spans="1:2" ht="15" customHeight="1">
      <c r="A73" s="38"/>
      <c r="B73" s="38"/>
    </row>
    <row r="74" spans="1:2" ht="15" customHeight="1">
      <c r="A74" s="38"/>
      <c r="B74" s="38"/>
    </row>
    <row r="75" spans="1:2" ht="15" customHeight="1">
      <c r="A75" s="38"/>
      <c r="B75" s="38"/>
    </row>
    <row r="76" spans="1:2" ht="15" customHeight="1">
      <c r="A76" s="38"/>
      <c r="B76" s="38"/>
    </row>
    <row r="77" spans="1:2" ht="15" customHeight="1">
      <c r="A77" s="6">
        <v>6000</v>
      </c>
      <c r="B77" s="7" t="s">
        <v>25</v>
      </c>
    </row>
  </sheetData>
  <pageMargins left="0.7" right="0.7" top="0.75" bottom="0.75" header="0.3" footer="0.3"/>
  <pageSetup orientation="landscape" r:id="rId1"/>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D77"/>
  <sheetViews>
    <sheetView showGridLines="0" zoomScale="90" zoomScaleNormal="90" workbookViewId="0">
      <selection activeCell="C71" sqref="C71"/>
    </sheetView>
  </sheetViews>
  <sheetFormatPr defaultColWidth="11.44140625" defaultRowHeight="15" customHeight="1"/>
  <cols>
    <col min="1" max="1" width="13.5546875" style="1" customWidth="1"/>
    <col min="2" max="2" width="31.44140625" style="1" customWidth="1"/>
    <col min="3" max="3" width="46.44140625" style="1" customWidth="1"/>
    <col min="4" max="4" width="86.77734375" style="1" customWidth="1"/>
    <col min="5" max="5" width="42.77734375" style="1" customWidth="1"/>
    <col min="6" max="255" width="11.44140625" style="1" customWidth="1"/>
    <col min="256" max="16384" width="11.44140625" style="1"/>
  </cols>
  <sheetData>
    <row r="1" spans="1:4" ht="25.05" customHeight="1">
      <c r="A1" s="96" t="s">
        <v>26</v>
      </c>
      <c r="B1" s="12"/>
      <c r="C1" s="38"/>
      <c r="D1" s="38"/>
    </row>
    <row r="2" spans="1:4" ht="30" customHeight="1">
      <c r="A2" s="97" t="s">
        <v>2</v>
      </c>
      <c r="B2" s="177" t="s">
        <v>27</v>
      </c>
      <c r="C2" s="176"/>
      <c r="D2" s="4"/>
    </row>
    <row r="3" spans="1:4" ht="20.100000000000001" customHeight="1">
      <c r="A3" s="40"/>
      <c r="B3" s="13"/>
      <c r="C3" s="13"/>
      <c r="D3" s="40"/>
    </row>
    <row r="4" spans="1:4" ht="15" customHeight="1">
      <c r="A4" s="98" t="s">
        <v>28</v>
      </c>
      <c r="B4" s="98" t="s">
        <v>69</v>
      </c>
      <c r="C4" s="96" t="s">
        <v>29</v>
      </c>
      <c r="D4" s="96" t="s">
        <v>2</v>
      </c>
    </row>
    <row r="5" spans="1:4" ht="86.4">
      <c r="A5" s="148">
        <v>1</v>
      </c>
      <c r="B5" s="149" t="s">
        <v>30</v>
      </c>
      <c r="C5" s="149" t="s">
        <v>31</v>
      </c>
      <c r="D5" s="149" t="s">
        <v>32</v>
      </c>
    </row>
    <row r="6" spans="1:4" ht="15" customHeight="1">
      <c r="A6" s="148">
        <f>A5+1</f>
        <v>2</v>
      </c>
      <c r="B6" s="149" t="s">
        <v>33</v>
      </c>
      <c r="C6" s="149" t="s">
        <v>34</v>
      </c>
      <c r="D6" s="150" t="s">
        <v>35</v>
      </c>
    </row>
    <row r="7" spans="1:4" ht="15" customHeight="1">
      <c r="A7" s="148">
        <f t="shared" ref="A7:A23" si="0">A6+1</f>
        <v>3</v>
      </c>
      <c r="B7" s="149" t="s">
        <v>33</v>
      </c>
      <c r="C7" s="149" t="s">
        <v>36</v>
      </c>
      <c r="D7" s="150" t="s">
        <v>37</v>
      </c>
    </row>
    <row r="8" spans="1:4" ht="15" customHeight="1">
      <c r="A8" s="148">
        <f t="shared" si="0"/>
        <v>4</v>
      </c>
      <c r="B8" s="149" t="s">
        <v>33</v>
      </c>
      <c r="C8" s="149" t="s">
        <v>38</v>
      </c>
      <c r="D8" s="150" t="s">
        <v>39</v>
      </c>
    </row>
    <row r="9" spans="1:4" ht="15" customHeight="1">
      <c r="A9" s="148">
        <f t="shared" si="0"/>
        <v>5</v>
      </c>
      <c r="B9" s="149" t="s">
        <v>33</v>
      </c>
      <c r="C9" s="149" t="s">
        <v>7</v>
      </c>
      <c r="D9" s="150" t="s">
        <v>40</v>
      </c>
    </row>
    <row r="10" spans="1:4" ht="15" customHeight="1">
      <c r="A10" s="148">
        <f t="shared" si="0"/>
        <v>6</v>
      </c>
      <c r="B10" s="149" t="s">
        <v>33</v>
      </c>
      <c r="C10" s="149" t="s">
        <v>10</v>
      </c>
      <c r="D10" s="150" t="s">
        <v>41</v>
      </c>
    </row>
    <row r="11" spans="1:4" ht="15" customHeight="1">
      <c r="A11" s="148">
        <f t="shared" si="0"/>
        <v>7</v>
      </c>
      <c r="B11" s="149" t="s">
        <v>33</v>
      </c>
      <c r="C11" s="149" t="s">
        <v>15</v>
      </c>
      <c r="D11" s="150" t="s">
        <v>42</v>
      </c>
    </row>
    <row r="12" spans="1:4" ht="15" customHeight="1">
      <c r="A12" s="148">
        <f t="shared" si="0"/>
        <v>8</v>
      </c>
      <c r="B12" s="149" t="s">
        <v>33</v>
      </c>
      <c r="C12" s="149" t="s">
        <v>17</v>
      </c>
      <c r="D12" s="150" t="s">
        <v>43</v>
      </c>
    </row>
    <row r="13" spans="1:4" ht="16.05" customHeight="1">
      <c r="A13" s="148">
        <f t="shared" si="0"/>
        <v>9</v>
      </c>
      <c r="B13" s="149" t="s">
        <v>2430</v>
      </c>
      <c r="C13" s="149" t="s">
        <v>44</v>
      </c>
      <c r="D13" s="149" t="s">
        <v>45</v>
      </c>
    </row>
    <row r="14" spans="1:4" ht="16.05" customHeight="1">
      <c r="A14" s="148">
        <f t="shared" si="0"/>
        <v>10</v>
      </c>
      <c r="B14" s="149" t="s">
        <v>2430</v>
      </c>
      <c r="C14" s="149" t="s">
        <v>46</v>
      </c>
      <c r="D14" s="149" t="s">
        <v>47</v>
      </c>
    </row>
    <row r="15" spans="1:4" ht="16.05" customHeight="1">
      <c r="A15" s="148">
        <f t="shared" si="0"/>
        <v>11</v>
      </c>
      <c r="B15" s="149" t="s">
        <v>33</v>
      </c>
      <c r="C15" s="149" t="s">
        <v>48</v>
      </c>
      <c r="D15" s="149" t="s">
        <v>49</v>
      </c>
    </row>
    <row r="16" spans="1:4" ht="15" customHeight="1">
      <c r="A16" s="148">
        <f t="shared" si="0"/>
        <v>12</v>
      </c>
      <c r="B16" s="149" t="s">
        <v>33</v>
      </c>
      <c r="C16" s="149" t="s">
        <v>50</v>
      </c>
      <c r="D16" s="150" t="s">
        <v>51</v>
      </c>
    </row>
    <row r="17" spans="1:4" ht="15" customHeight="1">
      <c r="A17" s="148">
        <f t="shared" si="0"/>
        <v>13</v>
      </c>
      <c r="B17" s="149" t="s">
        <v>33</v>
      </c>
      <c r="C17" s="149" t="s">
        <v>52</v>
      </c>
      <c r="D17" s="149" t="s">
        <v>53</v>
      </c>
    </row>
    <row r="18" spans="1:4" ht="15" customHeight="1">
      <c r="A18" s="148">
        <f t="shared" si="0"/>
        <v>14</v>
      </c>
      <c r="B18" s="149" t="s">
        <v>33</v>
      </c>
      <c r="C18" s="149" t="s">
        <v>54</v>
      </c>
      <c r="D18" s="150" t="s">
        <v>55</v>
      </c>
    </row>
    <row r="19" spans="1:4" ht="15" customHeight="1">
      <c r="A19" s="148">
        <f t="shared" si="0"/>
        <v>15</v>
      </c>
      <c r="B19" s="149" t="s">
        <v>56</v>
      </c>
      <c r="C19" s="149" t="s">
        <v>57</v>
      </c>
      <c r="D19" s="149" t="s">
        <v>58</v>
      </c>
    </row>
    <row r="20" spans="1:4" ht="15" customHeight="1">
      <c r="A20" s="148">
        <f t="shared" si="0"/>
        <v>16</v>
      </c>
      <c r="B20" s="149" t="s">
        <v>56</v>
      </c>
      <c r="C20" s="149" t="s">
        <v>59</v>
      </c>
      <c r="D20" s="149" t="s">
        <v>60</v>
      </c>
    </row>
    <row r="21" spans="1:4" ht="15" customHeight="1">
      <c r="A21" s="148">
        <f t="shared" si="0"/>
        <v>17</v>
      </c>
      <c r="B21" s="149" t="s">
        <v>33</v>
      </c>
      <c r="C21" s="149" t="s">
        <v>61</v>
      </c>
      <c r="D21" s="149" t="s">
        <v>62</v>
      </c>
    </row>
    <row r="22" spans="1:4" ht="16.05" customHeight="1">
      <c r="A22" s="148">
        <f t="shared" si="0"/>
        <v>18</v>
      </c>
      <c r="B22" s="149" t="s">
        <v>56</v>
      </c>
      <c r="C22" s="149" t="s">
        <v>63</v>
      </c>
      <c r="D22" s="149" t="s">
        <v>64</v>
      </c>
    </row>
    <row r="23" spans="1:4" ht="15" customHeight="1">
      <c r="A23" s="148">
        <f t="shared" si="0"/>
        <v>19</v>
      </c>
      <c r="B23" s="149" t="s">
        <v>56</v>
      </c>
      <c r="C23" s="149" t="s">
        <v>65</v>
      </c>
      <c r="D23" s="149" t="s">
        <v>66</v>
      </c>
    </row>
    <row r="24" spans="1:4" ht="15" customHeight="1">
      <c r="A24" s="59"/>
      <c r="B24" s="59"/>
      <c r="C24" s="59"/>
      <c r="D24" s="59"/>
    </row>
    <row r="25" spans="1:4" ht="15" customHeight="1">
      <c r="A25" s="96" t="s">
        <v>67</v>
      </c>
      <c r="B25" s="15"/>
      <c r="C25" s="109"/>
      <c r="D25" s="109"/>
    </row>
    <row r="26" spans="1:4" ht="30" customHeight="1">
      <c r="A26" s="97" t="s">
        <v>2</v>
      </c>
      <c r="B26" s="175" t="s">
        <v>68</v>
      </c>
      <c r="C26" s="176"/>
      <c r="D26" s="4"/>
    </row>
    <row r="27" spans="1:4" ht="15" customHeight="1">
      <c r="A27" s="110"/>
      <c r="B27" s="16"/>
      <c r="C27" s="16"/>
      <c r="D27" s="110"/>
    </row>
    <row r="28" spans="1:4" ht="15" customHeight="1">
      <c r="A28" s="98" t="s">
        <v>28</v>
      </c>
      <c r="B28" s="98" t="s">
        <v>69</v>
      </c>
      <c r="C28" s="96" t="s">
        <v>29</v>
      </c>
      <c r="D28" s="96" t="s">
        <v>2</v>
      </c>
    </row>
    <row r="29" spans="1:4" ht="86.4">
      <c r="A29" s="148">
        <v>1</v>
      </c>
      <c r="B29" s="149" t="s">
        <v>30</v>
      </c>
      <c r="C29" s="149" t="s">
        <v>31</v>
      </c>
      <c r="D29" s="149" t="s">
        <v>32</v>
      </c>
    </row>
    <row r="30" spans="1:4" ht="15" customHeight="1">
      <c r="A30" s="148">
        <f>A29+1</f>
        <v>2</v>
      </c>
      <c r="B30" s="149" t="s">
        <v>33</v>
      </c>
      <c r="C30" s="149" t="s">
        <v>34</v>
      </c>
      <c r="D30" s="150" t="s">
        <v>35</v>
      </c>
    </row>
    <row r="31" spans="1:4" ht="15" customHeight="1">
      <c r="A31" s="148">
        <f t="shared" ref="A31:A50" si="1">A30+1</f>
        <v>3</v>
      </c>
      <c r="B31" s="149" t="s">
        <v>33</v>
      </c>
      <c r="C31" s="149" t="s">
        <v>36</v>
      </c>
      <c r="D31" s="150" t="s">
        <v>37</v>
      </c>
    </row>
    <row r="32" spans="1:4" ht="15" customHeight="1">
      <c r="A32" s="148">
        <f t="shared" si="1"/>
        <v>4</v>
      </c>
      <c r="B32" s="149" t="s">
        <v>33</v>
      </c>
      <c r="C32" s="149" t="s">
        <v>38</v>
      </c>
      <c r="D32" s="150" t="s">
        <v>39</v>
      </c>
    </row>
    <row r="33" spans="1:4" ht="15" customHeight="1">
      <c r="A33" s="148">
        <f t="shared" si="1"/>
        <v>5</v>
      </c>
      <c r="B33" s="149" t="s">
        <v>33</v>
      </c>
      <c r="C33" s="149" t="s">
        <v>7</v>
      </c>
      <c r="D33" s="150" t="s">
        <v>40</v>
      </c>
    </row>
    <row r="34" spans="1:4" ht="15" customHeight="1">
      <c r="A34" s="148">
        <f t="shared" si="1"/>
        <v>6</v>
      </c>
      <c r="B34" s="149" t="s">
        <v>33</v>
      </c>
      <c r="C34" s="149" t="s">
        <v>10</v>
      </c>
      <c r="D34" s="150" t="s">
        <v>41</v>
      </c>
    </row>
    <row r="35" spans="1:4" ht="15" customHeight="1">
      <c r="A35" s="148">
        <f t="shared" si="1"/>
        <v>7</v>
      </c>
      <c r="B35" s="149" t="s">
        <v>33</v>
      </c>
      <c r="C35" s="149" t="s">
        <v>15</v>
      </c>
      <c r="D35" s="150" t="s">
        <v>42</v>
      </c>
    </row>
    <row r="36" spans="1:4" ht="15" customHeight="1">
      <c r="A36" s="148">
        <f t="shared" si="1"/>
        <v>8</v>
      </c>
      <c r="B36" s="149" t="s">
        <v>33</v>
      </c>
      <c r="C36" s="149" t="s">
        <v>17</v>
      </c>
      <c r="D36" s="150" t="s">
        <v>43</v>
      </c>
    </row>
    <row r="37" spans="1:4" ht="16.05" customHeight="1">
      <c r="A37" s="148">
        <f t="shared" si="1"/>
        <v>9</v>
      </c>
      <c r="B37" s="149" t="s">
        <v>2430</v>
      </c>
      <c r="C37" s="149" t="s">
        <v>44</v>
      </c>
      <c r="D37" s="150" t="s">
        <v>45</v>
      </c>
    </row>
    <row r="38" spans="1:4" ht="16.05" customHeight="1">
      <c r="A38" s="148">
        <f t="shared" si="1"/>
        <v>10</v>
      </c>
      <c r="B38" s="149" t="s">
        <v>2430</v>
      </c>
      <c r="C38" s="149" t="s">
        <v>46</v>
      </c>
      <c r="D38" s="149" t="s">
        <v>47</v>
      </c>
    </row>
    <row r="39" spans="1:4" ht="16.05" customHeight="1">
      <c r="A39" s="148">
        <f t="shared" si="1"/>
        <v>11</v>
      </c>
      <c r="B39" s="149" t="s">
        <v>33</v>
      </c>
      <c r="C39" s="149" t="s">
        <v>48</v>
      </c>
      <c r="D39" s="149" t="s">
        <v>49</v>
      </c>
    </row>
    <row r="40" spans="1:4" ht="15" customHeight="1">
      <c r="A40" s="148">
        <f t="shared" si="1"/>
        <v>12</v>
      </c>
      <c r="B40" s="149" t="s">
        <v>33</v>
      </c>
      <c r="C40" s="149" t="s">
        <v>50</v>
      </c>
      <c r="D40" s="150" t="s">
        <v>51</v>
      </c>
    </row>
    <row r="41" spans="1:4" ht="15" customHeight="1">
      <c r="A41" s="148">
        <f t="shared" si="1"/>
        <v>13</v>
      </c>
      <c r="B41" s="149" t="s">
        <v>33</v>
      </c>
      <c r="C41" s="149" t="s">
        <v>52</v>
      </c>
      <c r="D41" s="149" t="s">
        <v>53</v>
      </c>
    </row>
    <row r="42" spans="1:4" ht="15" customHeight="1">
      <c r="A42" s="148">
        <f t="shared" si="1"/>
        <v>14</v>
      </c>
      <c r="B42" s="149" t="s">
        <v>33</v>
      </c>
      <c r="C42" s="149" t="s">
        <v>54</v>
      </c>
      <c r="D42" s="150" t="s">
        <v>55</v>
      </c>
    </row>
    <row r="43" spans="1:4" ht="15" customHeight="1">
      <c r="A43" s="148">
        <f t="shared" si="1"/>
        <v>15</v>
      </c>
      <c r="B43" s="149" t="s">
        <v>56</v>
      </c>
      <c r="C43" s="149" t="s">
        <v>57</v>
      </c>
      <c r="D43" s="149" t="s">
        <v>58</v>
      </c>
    </row>
    <row r="44" spans="1:4" ht="15" customHeight="1">
      <c r="A44" s="148">
        <f t="shared" si="1"/>
        <v>16</v>
      </c>
      <c r="B44" s="149" t="s">
        <v>56</v>
      </c>
      <c r="C44" s="149" t="s">
        <v>59</v>
      </c>
      <c r="D44" s="149" t="s">
        <v>60</v>
      </c>
    </row>
    <row r="45" spans="1:4" ht="15" customHeight="1">
      <c r="A45" s="148">
        <f t="shared" si="1"/>
        <v>17</v>
      </c>
      <c r="B45" s="149" t="s">
        <v>56</v>
      </c>
      <c r="C45" s="149" t="s">
        <v>70</v>
      </c>
      <c r="D45" s="149" t="s">
        <v>71</v>
      </c>
    </row>
    <row r="46" spans="1:4" ht="15" customHeight="1">
      <c r="A46" s="148">
        <f t="shared" si="1"/>
        <v>18</v>
      </c>
      <c r="B46" s="149" t="s">
        <v>56</v>
      </c>
      <c r="C46" s="149" t="s">
        <v>72</v>
      </c>
      <c r="D46" s="149" t="s">
        <v>73</v>
      </c>
    </row>
    <row r="47" spans="1:4" ht="15" customHeight="1">
      <c r="A47" s="148">
        <f t="shared" si="1"/>
        <v>19</v>
      </c>
      <c r="B47" s="149" t="s">
        <v>56</v>
      </c>
      <c r="C47" s="149" t="s">
        <v>74</v>
      </c>
      <c r="D47" s="149" t="s">
        <v>75</v>
      </c>
    </row>
    <row r="48" spans="1:4" ht="15" customHeight="1">
      <c r="A48" s="148">
        <f t="shared" si="1"/>
        <v>20</v>
      </c>
      <c r="B48" s="149" t="s">
        <v>33</v>
      </c>
      <c r="C48" s="149" t="s">
        <v>61</v>
      </c>
      <c r="D48" s="149" t="s">
        <v>62</v>
      </c>
    </row>
    <row r="49" spans="1:4" ht="16.05" customHeight="1">
      <c r="A49" s="148">
        <f t="shared" si="1"/>
        <v>21</v>
      </c>
      <c r="B49" s="149" t="s">
        <v>56</v>
      </c>
      <c r="C49" s="149" t="s">
        <v>76</v>
      </c>
      <c r="D49" s="149" t="s">
        <v>64</v>
      </c>
    </row>
    <row r="50" spans="1:4" ht="15" customHeight="1">
      <c r="A50" s="148">
        <f t="shared" si="1"/>
        <v>22</v>
      </c>
      <c r="B50" s="149" t="s">
        <v>56</v>
      </c>
      <c r="C50" s="149" t="s">
        <v>65</v>
      </c>
      <c r="D50" s="149" t="s">
        <v>66</v>
      </c>
    </row>
    <row r="51" spans="1:4" ht="15" customHeight="1">
      <c r="A51" s="111"/>
      <c r="B51" s="59"/>
      <c r="C51" s="59"/>
      <c r="D51" s="59"/>
    </row>
    <row r="52" spans="1:4" ht="15" customHeight="1">
      <c r="A52" s="96" t="s">
        <v>77</v>
      </c>
      <c r="B52" s="15"/>
      <c r="C52" s="109"/>
      <c r="D52" s="109"/>
    </row>
    <row r="53" spans="1:4" ht="30" customHeight="1">
      <c r="A53" s="97" t="s">
        <v>2</v>
      </c>
      <c r="B53" s="175" t="s">
        <v>78</v>
      </c>
      <c r="C53" s="176"/>
      <c r="D53" s="4"/>
    </row>
    <row r="54" spans="1:4" ht="15" customHeight="1">
      <c r="A54" s="110"/>
      <c r="B54" s="16"/>
      <c r="C54" s="16"/>
      <c r="D54" s="110"/>
    </row>
    <row r="55" spans="1:4" ht="15" customHeight="1">
      <c r="A55" s="98" t="s">
        <v>28</v>
      </c>
      <c r="B55" s="98" t="s">
        <v>69</v>
      </c>
      <c r="C55" s="96" t="s">
        <v>29</v>
      </c>
      <c r="D55" s="96" t="s">
        <v>2</v>
      </c>
    </row>
    <row r="56" spans="1:4" ht="86.4">
      <c r="A56" s="148">
        <v>1</v>
      </c>
      <c r="B56" s="149" t="s">
        <v>30</v>
      </c>
      <c r="C56" s="149" t="s">
        <v>31</v>
      </c>
      <c r="D56" s="149" t="s">
        <v>32</v>
      </c>
    </row>
    <row r="57" spans="1:4" ht="15" customHeight="1">
      <c r="A57" s="148">
        <f>A56+1</f>
        <v>2</v>
      </c>
      <c r="B57" s="149" t="s">
        <v>33</v>
      </c>
      <c r="C57" s="149" t="s">
        <v>34</v>
      </c>
      <c r="D57" s="150" t="s">
        <v>35</v>
      </c>
    </row>
    <row r="58" spans="1:4" ht="15" customHeight="1">
      <c r="A58" s="148">
        <f t="shared" ref="A58:A77" si="2">A57+1</f>
        <v>3</v>
      </c>
      <c r="B58" s="149" t="s">
        <v>33</v>
      </c>
      <c r="C58" s="149" t="s">
        <v>36</v>
      </c>
      <c r="D58" s="150" t="s">
        <v>37</v>
      </c>
    </row>
    <row r="59" spans="1:4" ht="15" customHeight="1">
      <c r="A59" s="148">
        <f t="shared" si="2"/>
        <v>4</v>
      </c>
      <c r="B59" s="149" t="s">
        <v>33</v>
      </c>
      <c r="C59" s="149" t="s">
        <v>38</v>
      </c>
      <c r="D59" s="150" t="s">
        <v>39</v>
      </c>
    </row>
    <row r="60" spans="1:4" ht="15" customHeight="1">
      <c r="A60" s="148">
        <f t="shared" si="2"/>
        <v>5</v>
      </c>
      <c r="B60" s="149" t="s">
        <v>33</v>
      </c>
      <c r="C60" s="149" t="s">
        <v>7</v>
      </c>
      <c r="D60" s="150" t="s">
        <v>40</v>
      </c>
    </row>
    <row r="61" spans="1:4" ht="15" customHeight="1">
      <c r="A61" s="148">
        <f t="shared" si="2"/>
        <v>6</v>
      </c>
      <c r="B61" s="149" t="s">
        <v>33</v>
      </c>
      <c r="C61" s="149" t="s">
        <v>10</v>
      </c>
      <c r="D61" s="150" t="s">
        <v>41</v>
      </c>
    </row>
    <row r="62" spans="1:4" ht="15" customHeight="1">
      <c r="A62" s="148">
        <f t="shared" si="2"/>
        <v>7</v>
      </c>
      <c r="B62" s="149" t="s">
        <v>33</v>
      </c>
      <c r="C62" s="149" t="s">
        <v>15</v>
      </c>
      <c r="D62" s="150" t="s">
        <v>42</v>
      </c>
    </row>
    <row r="63" spans="1:4" ht="15" customHeight="1">
      <c r="A63" s="148">
        <f t="shared" si="2"/>
        <v>8</v>
      </c>
      <c r="B63" s="149" t="s">
        <v>33</v>
      </c>
      <c r="C63" s="149" t="s">
        <v>17</v>
      </c>
      <c r="D63" s="150" t="s">
        <v>43</v>
      </c>
    </row>
    <row r="64" spans="1:4" ht="16.05" customHeight="1">
      <c r="A64" s="148">
        <f t="shared" si="2"/>
        <v>9</v>
      </c>
      <c r="B64" s="149" t="s">
        <v>2430</v>
      </c>
      <c r="C64" s="149" t="s">
        <v>44</v>
      </c>
      <c r="D64" s="150" t="s">
        <v>45</v>
      </c>
    </row>
    <row r="65" spans="1:4" ht="16.05" customHeight="1">
      <c r="A65" s="148">
        <f t="shared" si="2"/>
        <v>10</v>
      </c>
      <c r="B65" s="149" t="s">
        <v>2430</v>
      </c>
      <c r="C65" s="149" t="s">
        <v>46</v>
      </c>
      <c r="D65" s="149" t="s">
        <v>47</v>
      </c>
    </row>
    <row r="66" spans="1:4" ht="16.05" customHeight="1">
      <c r="A66" s="148">
        <f t="shared" si="2"/>
        <v>11</v>
      </c>
      <c r="B66" s="149" t="s">
        <v>33</v>
      </c>
      <c r="C66" s="149" t="s">
        <v>48</v>
      </c>
      <c r="D66" s="149" t="s">
        <v>49</v>
      </c>
    </row>
    <row r="67" spans="1:4" ht="15" customHeight="1">
      <c r="A67" s="148">
        <f t="shared" si="2"/>
        <v>12</v>
      </c>
      <c r="B67" s="149" t="s">
        <v>33</v>
      </c>
      <c r="C67" s="149" t="s">
        <v>50</v>
      </c>
      <c r="D67" s="150" t="s">
        <v>51</v>
      </c>
    </row>
    <row r="68" spans="1:4" ht="15" customHeight="1">
      <c r="A68" s="148">
        <f t="shared" si="2"/>
        <v>13</v>
      </c>
      <c r="B68" s="149" t="s">
        <v>33</v>
      </c>
      <c r="C68" s="149" t="s">
        <v>52</v>
      </c>
      <c r="D68" s="149" t="s">
        <v>53</v>
      </c>
    </row>
    <row r="69" spans="1:4" ht="15" customHeight="1">
      <c r="A69" s="148">
        <f t="shared" si="2"/>
        <v>14</v>
      </c>
      <c r="B69" s="149" t="s">
        <v>33</v>
      </c>
      <c r="C69" s="149" t="s">
        <v>54</v>
      </c>
      <c r="D69" s="150" t="s">
        <v>55</v>
      </c>
    </row>
    <row r="70" spans="1:4" ht="15" customHeight="1">
      <c r="A70" s="148">
        <f t="shared" si="2"/>
        <v>15</v>
      </c>
      <c r="B70" s="149" t="s">
        <v>56</v>
      </c>
      <c r="C70" s="149" t="s">
        <v>57</v>
      </c>
      <c r="D70" s="149" t="s">
        <v>58</v>
      </c>
    </row>
    <row r="71" spans="1:4" ht="15" customHeight="1">
      <c r="A71" s="148">
        <f t="shared" si="2"/>
        <v>16</v>
      </c>
      <c r="B71" s="149" t="s">
        <v>56</v>
      </c>
      <c r="C71" s="149" t="s">
        <v>59</v>
      </c>
      <c r="D71" s="149" t="s">
        <v>60</v>
      </c>
    </row>
    <row r="72" spans="1:4" ht="15" customHeight="1">
      <c r="A72" s="148">
        <f t="shared" si="2"/>
        <v>17</v>
      </c>
      <c r="B72" s="149" t="s">
        <v>56</v>
      </c>
      <c r="C72" s="149" t="s">
        <v>70</v>
      </c>
      <c r="D72" s="149" t="s">
        <v>71</v>
      </c>
    </row>
    <row r="73" spans="1:4" ht="15" customHeight="1">
      <c r="A73" s="148">
        <f t="shared" si="2"/>
        <v>18</v>
      </c>
      <c r="B73" s="149" t="s">
        <v>56</v>
      </c>
      <c r="C73" s="149" t="s">
        <v>79</v>
      </c>
      <c r="D73" s="149" t="s">
        <v>80</v>
      </c>
    </row>
    <row r="74" spans="1:4" ht="15" customHeight="1">
      <c r="A74" s="148">
        <f t="shared" si="2"/>
        <v>19</v>
      </c>
      <c r="B74" s="149" t="s">
        <v>33</v>
      </c>
      <c r="C74" s="149" t="s">
        <v>61</v>
      </c>
      <c r="D74" s="149" t="s">
        <v>62</v>
      </c>
    </row>
    <row r="75" spans="1:4" ht="16.05" customHeight="1">
      <c r="A75" s="148">
        <f t="shared" si="2"/>
        <v>20</v>
      </c>
      <c r="B75" s="149" t="s">
        <v>56</v>
      </c>
      <c r="C75" s="149" t="s">
        <v>81</v>
      </c>
      <c r="D75" s="149" t="s">
        <v>64</v>
      </c>
    </row>
    <row r="76" spans="1:4" ht="15" customHeight="1">
      <c r="A76" s="148">
        <f t="shared" si="2"/>
        <v>21</v>
      </c>
      <c r="B76" s="149" t="s">
        <v>56</v>
      </c>
      <c r="C76" s="149" t="s">
        <v>65</v>
      </c>
      <c r="D76" s="149" t="s">
        <v>66</v>
      </c>
    </row>
    <row r="77" spans="1:4" ht="15" customHeight="1">
      <c r="A77" s="148">
        <f t="shared" si="2"/>
        <v>22</v>
      </c>
      <c r="B77" s="149" t="s">
        <v>33</v>
      </c>
      <c r="C77" s="149" t="s">
        <v>82</v>
      </c>
      <c r="D77" s="150" t="s">
        <v>83</v>
      </c>
    </row>
  </sheetData>
  <mergeCells count="3">
    <mergeCell ref="B53:C53"/>
    <mergeCell ref="B26:C26"/>
    <mergeCell ref="B2:C2"/>
  </mergeCells>
  <pageMargins left="0.7" right="0.7" top="0.75" bottom="0.75" header="0.3" footer="0.3"/>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A1:F165"/>
  <sheetViews>
    <sheetView showGridLines="0" zoomScale="70" zoomScaleNormal="70" workbookViewId="0">
      <selection activeCell="E29" sqref="E29"/>
    </sheetView>
  </sheetViews>
  <sheetFormatPr defaultColWidth="10.77734375" defaultRowHeight="15" customHeight="1"/>
  <cols>
    <col min="1" max="1" width="32.44140625" style="1" customWidth="1"/>
    <col min="2" max="2" width="47.44140625" style="1" customWidth="1"/>
    <col min="3" max="3" width="50" style="1" customWidth="1"/>
    <col min="4" max="4" width="27" style="1" customWidth="1"/>
    <col min="5" max="5" width="19" style="1" bestFit="1" customWidth="1"/>
    <col min="6" max="6" width="13.21875" style="1" bestFit="1" customWidth="1"/>
    <col min="7" max="7" width="10.77734375" style="1" customWidth="1"/>
    <col min="8" max="8" width="25.77734375" style="1" bestFit="1" customWidth="1"/>
    <col min="9" max="9" width="17.77734375" style="1" customWidth="1"/>
    <col min="10" max="10" width="10.77734375" style="1" customWidth="1"/>
    <col min="11" max="11" width="25.77734375" style="1" bestFit="1" customWidth="1"/>
    <col min="12" max="252" width="10.77734375" style="1" customWidth="1"/>
    <col min="253" max="16384" width="10.77734375" style="1"/>
  </cols>
  <sheetData>
    <row r="1" spans="1:2" ht="15" customHeight="1">
      <c r="A1" s="47" t="s">
        <v>84</v>
      </c>
      <c r="B1" s="48"/>
    </row>
    <row r="2" spans="1:2" ht="15" customHeight="1">
      <c r="A2" s="49" t="s">
        <v>85</v>
      </c>
      <c r="B2" s="50"/>
    </row>
    <row r="3" spans="1:2" ht="15" customHeight="1" thickBot="1">
      <c r="A3" s="51" t="s">
        <v>86</v>
      </c>
      <c r="B3" s="52"/>
    </row>
    <row r="5" spans="1:2" ht="15" customHeight="1">
      <c r="A5" s="100" t="s">
        <v>87</v>
      </c>
      <c r="B5" s="56" t="s">
        <v>34</v>
      </c>
    </row>
    <row r="6" spans="1:2" ht="15" customHeight="1">
      <c r="A6" s="99" t="s">
        <v>88</v>
      </c>
      <c r="B6" s="45" t="s">
        <v>89</v>
      </c>
    </row>
    <row r="7" spans="1:2" ht="15" customHeight="1">
      <c r="A7" s="38"/>
      <c r="B7" s="38"/>
    </row>
    <row r="8" spans="1:2" ht="15" customHeight="1">
      <c r="A8" s="120" t="s">
        <v>90</v>
      </c>
      <c r="B8" s="120" t="s">
        <v>34</v>
      </c>
    </row>
    <row r="9" spans="1:2" ht="45" customHeight="1">
      <c r="A9" s="43" t="s">
        <v>91</v>
      </c>
      <c r="B9" s="76">
        <v>20</v>
      </c>
    </row>
    <row r="10" spans="1:2" ht="15" customHeight="1">
      <c r="A10" s="44" t="s">
        <v>92</v>
      </c>
      <c r="B10" s="76">
        <v>16</v>
      </c>
    </row>
    <row r="11" spans="1:2" ht="15" customHeight="1">
      <c r="A11" s="40"/>
      <c r="B11" s="38"/>
    </row>
    <row r="12" spans="1:2" ht="15" customHeight="1">
      <c r="A12" s="100" t="s">
        <v>87</v>
      </c>
      <c r="B12" s="56" t="s">
        <v>36</v>
      </c>
    </row>
    <row r="13" spans="1:2" ht="15" customHeight="1">
      <c r="A13" s="99" t="s">
        <v>88</v>
      </c>
      <c r="B13" s="45" t="s">
        <v>93</v>
      </c>
    </row>
    <row r="14" spans="1:2" ht="15" customHeight="1">
      <c r="A14" s="38"/>
      <c r="B14" s="38"/>
    </row>
    <row r="15" spans="1:2" ht="15" customHeight="1">
      <c r="A15" s="120" t="s">
        <v>90</v>
      </c>
      <c r="B15" s="120" t="s">
        <v>36</v>
      </c>
    </row>
    <row r="16" spans="1:2" ht="45" customHeight="1">
      <c r="A16" s="43" t="s">
        <v>91</v>
      </c>
      <c r="B16" s="76">
        <v>65</v>
      </c>
    </row>
    <row r="17" spans="1:2" ht="15" customHeight="1">
      <c r="A17" s="44" t="s">
        <v>92</v>
      </c>
      <c r="B17" s="76">
        <v>30</v>
      </c>
    </row>
    <row r="18" spans="1:2" ht="15" customHeight="1">
      <c r="A18" s="40"/>
      <c r="B18" s="38"/>
    </row>
    <row r="19" spans="1:2" ht="15" customHeight="1">
      <c r="A19" s="100" t="s">
        <v>87</v>
      </c>
      <c r="B19" s="56" t="s">
        <v>38</v>
      </c>
    </row>
    <row r="20" spans="1:2" ht="15" customHeight="1">
      <c r="A20" s="99" t="s">
        <v>88</v>
      </c>
      <c r="B20" s="45" t="s">
        <v>94</v>
      </c>
    </row>
    <row r="21" spans="1:2" ht="15" customHeight="1">
      <c r="A21" s="38"/>
      <c r="B21" s="38"/>
    </row>
    <row r="22" spans="1:2" ht="15" customHeight="1">
      <c r="A22" s="120" t="s">
        <v>90</v>
      </c>
      <c r="B22" s="120" t="s">
        <v>95</v>
      </c>
    </row>
    <row r="23" spans="1:2" ht="45" customHeight="1">
      <c r="A23" s="43" t="s">
        <v>91</v>
      </c>
      <c r="B23" s="76">
        <v>2000</v>
      </c>
    </row>
    <row r="24" spans="1:2" ht="15" customHeight="1">
      <c r="A24" s="44" t="s">
        <v>92</v>
      </c>
      <c r="B24" s="76">
        <v>0</v>
      </c>
    </row>
    <row r="25" spans="1:2" ht="15" customHeight="1">
      <c r="A25" s="40"/>
      <c r="B25" s="38"/>
    </row>
    <row r="26" spans="1:2" ht="15" customHeight="1">
      <c r="A26" s="100" t="s">
        <v>87</v>
      </c>
      <c r="B26" s="56" t="s">
        <v>7</v>
      </c>
    </row>
    <row r="27" spans="1:2" ht="15" customHeight="1">
      <c r="A27" s="99" t="s">
        <v>88</v>
      </c>
      <c r="B27" s="45" t="s">
        <v>96</v>
      </c>
    </row>
    <row r="28" spans="1:2" ht="15" customHeight="1">
      <c r="A28" s="38"/>
      <c r="B28" s="38"/>
    </row>
    <row r="29" spans="1:2" ht="15" customHeight="1">
      <c r="A29" s="120" t="s">
        <v>90</v>
      </c>
      <c r="B29" s="120" t="s">
        <v>7</v>
      </c>
    </row>
    <row r="30" spans="1:2" ht="45" customHeight="1">
      <c r="A30" s="43" t="s">
        <v>91</v>
      </c>
      <c r="B30" s="76">
        <v>10000</v>
      </c>
    </row>
    <row r="31" spans="1:2" ht="15" customHeight="1">
      <c r="A31" s="44" t="s">
        <v>92</v>
      </c>
      <c r="B31" s="76">
        <v>5000</v>
      </c>
    </row>
    <row r="33" spans="1:2" ht="15" customHeight="1">
      <c r="A33" s="100" t="s">
        <v>87</v>
      </c>
      <c r="B33" s="56" t="s">
        <v>10</v>
      </c>
    </row>
    <row r="34" spans="1:2" ht="15" customHeight="1">
      <c r="A34" s="99" t="s">
        <v>88</v>
      </c>
      <c r="B34" s="45" t="s">
        <v>97</v>
      </c>
    </row>
    <row r="35" spans="1:2" ht="15" customHeight="1">
      <c r="A35" s="38"/>
      <c r="B35" s="38"/>
    </row>
    <row r="36" spans="1:2" ht="15" customHeight="1">
      <c r="A36" s="120" t="s">
        <v>90</v>
      </c>
      <c r="B36" s="120" t="s">
        <v>10</v>
      </c>
    </row>
    <row r="37" spans="1:2" ht="45" customHeight="1">
      <c r="A37" s="43" t="s">
        <v>91</v>
      </c>
      <c r="B37" s="76">
        <v>100000</v>
      </c>
    </row>
    <row r="38" spans="1:2" ht="15" customHeight="1">
      <c r="A38" s="44" t="s">
        <v>92</v>
      </c>
      <c r="B38" s="76">
        <v>50000</v>
      </c>
    </row>
    <row r="39" spans="1:2" ht="15" customHeight="1">
      <c r="A39" s="40"/>
      <c r="B39" s="38"/>
    </row>
    <row r="40" spans="1:2" ht="15" customHeight="1">
      <c r="A40" s="100" t="s">
        <v>87</v>
      </c>
      <c r="B40" s="56" t="s">
        <v>15</v>
      </c>
    </row>
    <row r="41" spans="1:2" ht="15" customHeight="1">
      <c r="A41" s="99" t="s">
        <v>88</v>
      </c>
      <c r="B41" s="45" t="s">
        <v>98</v>
      </c>
    </row>
    <row r="42" spans="1:2" ht="15" customHeight="1">
      <c r="A42" s="38"/>
      <c r="B42" s="38"/>
    </row>
    <row r="43" spans="1:2" ht="15" customHeight="1">
      <c r="A43" s="120" t="s">
        <v>90</v>
      </c>
      <c r="B43" s="120" t="s">
        <v>15</v>
      </c>
    </row>
    <row r="44" spans="1:2" ht="45" customHeight="1">
      <c r="A44" s="43" t="s">
        <v>91</v>
      </c>
      <c r="B44" s="76">
        <v>6</v>
      </c>
    </row>
    <row r="45" spans="1:2" ht="15" customHeight="1">
      <c r="A45" s="44" t="s">
        <v>92</v>
      </c>
      <c r="B45" s="76">
        <v>1</v>
      </c>
    </row>
    <row r="46" spans="1:2" ht="15" customHeight="1">
      <c r="A46" s="40"/>
      <c r="B46" s="38"/>
    </row>
    <row r="47" spans="1:2" ht="15" customHeight="1">
      <c r="A47" s="100" t="s">
        <v>87</v>
      </c>
      <c r="B47" s="56" t="s">
        <v>17</v>
      </c>
    </row>
    <row r="48" spans="1:2" ht="15" customHeight="1">
      <c r="A48" s="99" t="s">
        <v>88</v>
      </c>
      <c r="B48" s="45" t="s">
        <v>99</v>
      </c>
    </row>
    <row r="50" spans="1:6" ht="15" customHeight="1">
      <c r="A50" s="120" t="s">
        <v>90</v>
      </c>
      <c r="B50" s="120" t="s">
        <v>17</v>
      </c>
      <c r="C50" s="38"/>
      <c r="D50" s="38"/>
      <c r="E50" s="38"/>
      <c r="F50" s="38"/>
    </row>
    <row r="51" spans="1:6" ht="45" customHeight="1">
      <c r="A51" s="43" t="s">
        <v>91</v>
      </c>
      <c r="B51" s="76">
        <v>60</v>
      </c>
      <c r="C51" s="38"/>
      <c r="D51" s="38"/>
      <c r="E51" s="38"/>
      <c r="F51" s="38"/>
    </row>
    <row r="52" spans="1:6" ht="15" customHeight="1">
      <c r="A52" s="44" t="s">
        <v>92</v>
      </c>
      <c r="B52" s="76">
        <v>48</v>
      </c>
      <c r="C52" s="38"/>
      <c r="D52" s="38"/>
      <c r="E52" s="38"/>
      <c r="F52" s="38"/>
    </row>
    <row r="53" spans="1:6" ht="15" customHeight="1">
      <c r="A53" s="40"/>
      <c r="B53" s="38"/>
      <c r="C53" s="38"/>
      <c r="D53" s="38"/>
      <c r="E53" s="38"/>
      <c r="F53" s="38"/>
    </row>
    <row r="54" spans="1:6" ht="15" customHeight="1">
      <c r="A54" s="100" t="s">
        <v>100</v>
      </c>
      <c r="B54" s="185" t="s">
        <v>48</v>
      </c>
      <c r="C54" s="185"/>
      <c r="D54" s="185"/>
      <c r="E54" s="38"/>
      <c r="F54" s="38"/>
    </row>
    <row r="55" spans="1:6" ht="47.55" customHeight="1">
      <c r="A55" s="99" t="s">
        <v>88</v>
      </c>
      <c r="B55" s="184" t="s">
        <v>2432</v>
      </c>
      <c r="C55" s="184"/>
      <c r="D55" s="55"/>
      <c r="E55" s="38"/>
      <c r="F55" s="38"/>
    </row>
    <row r="56" spans="1:6" ht="15" customHeight="1">
      <c r="A56" s="40"/>
      <c r="B56" s="40"/>
      <c r="C56" s="40"/>
      <c r="D56" s="38"/>
      <c r="E56" s="38"/>
      <c r="F56" s="38"/>
    </row>
    <row r="57" spans="1:6" ht="15" customHeight="1">
      <c r="A57" s="159" t="s">
        <v>101</v>
      </c>
      <c r="B57" s="159" t="s">
        <v>102</v>
      </c>
      <c r="C57" s="159" t="s">
        <v>2431</v>
      </c>
      <c r="D57" s="159" t="s">
        <v>104</v>
      </c>
      <c r="E57" s="160" t="s">
        <v>105</v>
      </c>
      <c r="F57" s="161" t="s">
        <v>106</v>
      </c>
    </row>
    <row r="58" spans="1:6" ht="15.75" customHeight="1">
      <c r="A58" s="151" t="s">
        <v>107</v>
      </c>
      <c r="B58" s="151" t="s">
        <v>268</v>
      </c>
      <c r="C58" s="152" t="s">
        <v>269</v>
      </c>
      <c r="D58" s="151" t="s">
        <v>269</v>
      </c>
      <c r="E58" s="153" t="s">
        <v>108</v>
      </c>
      <c r="F58" s="10" t="s">
        <v>109</v>
      </c>
    </row>
    <row r="59" spans="1:6" ht="15.75" customHeight="1">
      <c r="A59" s="151" t="s">
        <v>107</v>
      </c>
      <c r="B59" s="151" t="s">
        <v>270</v>
      </c>
      <c r="C59" s="152" t="s">
        <v>269</v>
      </c>
      <c r="D59" s="151" t="s">
        <v>269</v>
      </c>
      <c r="E59" s="154" t="s">
        <v>110</v>
      </c>
      <c r="F59" s="9" t="s">
        <v>111</v>
      </c>
    </row>
    <row r="60" spans="1:6" ht="15.75" customHeight="1">
      <c r="A60" s="151" t="s">
        <v>107</v>
      </c>
      <c r="B60" s="151" t="s">
        <v>271</v>
      </c>
      <c r="C60" s="152" t="s">
        <v>269</v>
      </c>
      <c r="D60" s="151" t="s">
        <v>272</v>
      </c>
      <c r="E60" s="154" t="s">
        <v>110</v>
      </c>
      <c r="F60" s="9" t="s">
        <v>111</v>
      </c>
    </row>
    <row r="61" spans="1:6" ht="15.75" customHeight="1">
      <c r="A61" s="151" t="s">
        <v>107</v>
      </c>
      <c r="B61" s="151" t="s">
        <v>271</v>
      </c>
      <c r="C61" s="152" t="s">
        <v>269</v>
      </c>
      <c r="D61" s="151" t="s">
        <v>273</v>
      </c>
      <c r="E61" s="154" t="s">
        <v>110</v>
      </c>
      <c r="F61" s="9" t="s">
        <v>111</v>
      </c>
    </row>
    <row r="62" spans="1:6" ht="15.75" customHeight="1">
      <c r="A62" s="151" t="s">
        <v>107</v>
      </c>
      <c r="B62" s="151" t="s">
        <v>271</v>
      </c>
      <c r="C62" s="152" t="s">
        <v>269</v>
      </c>
      <c r="D62" s="151" t="s">
        <v>274</v>
      </c>
      <c r="E62" s="154" t="s">
        <v>112</v>
      </c>
      <c r="F62" s="9" t="s">
        <v>113</v>
      </c>
    </row>
    <row r="63" spans="1:6" ht="15.75" customHeight="1">
      <c r="A63" s="151" t="s">
        <v>107</v>
      </c>
      <c r="B63" s="151" t="s">
        <v>271</v>
      </c>
      <c r="C63" s="152" t="s">
        <v>269</v>
      </c>
      <c r="D63" s="151" t="s">
        <v>275</v>
      </c>
      <c r="E63" s="154" t="s">
        <v>112</v>
      </c>
      <c r="F63" s="9" t="s">
        <v>113</v>
      </c>
    </row>
    <row r="64" spans="1:6" ht="15.75" customHeight="1">
      <c r="A64" s="151" t="s">
        <v>107</v>
      </c>
      <c r="B64" s="151" t="s">
        <v>271</v>
      </c>
      <c r="C64" s="152" t="s">
        <v>269</v>
      </c>
      <c r="D64" s="151" t="s">
        <v>276</v>
      </c>
      <c r="E64" s="154" t="s">
        <v>114</v>
      </c>
      <c r="F64" s="9" t="s">
        <v>115</v>
      </c>
    </row>
    <row r="65" spans="1:6" ht="15.75" customHeight="1">
      <c r="A65" s="151" t="s">
        <v>107</v>
      </c>
      <c r="B65" s="151" t="s">
        <v>277</v>
      </c>
      <c r="C65" s="152" t="s">
        <v>269</v>
      </c>
      <c r="D65" s="151" t="s">
        <v>272</v>
      </c>
      <c r="E65" s="154" t="s">
        <v>110</v>
      </c>
      <c r="F65" s="9" t="s">
        <v>111</v>
      </c>
    </row>
    <row r="66" spans="1:6" ht="15.75" customHeight="1">
      <c r="A66" s="151" t="s">
        <v>107</v>
      </c>
      <c r="B66" s="151" t="s">
        <v>277</v>
      </c>
      <c r="C66" s="152" t="s">
        <v>269</v>
      </c>
      <c r="D66" s="151" t="s">
        <v>273</v>
      </c>
      <c r="E66" s="154" t="s">
        <v>112</v>
      </c>
      <c r="F66" s="9" t="s">
        <v>113</v>
      </c>
    </row>
    <row r="67" spans="1:6" ht="15.75" customHeight="1">
      <c r="A67" s="151" t="s">
        <v>107</v>
      </c>
      <c r="B67" s="151" t="s">
        <v>277</v>
      </c>
      <c r="C67" s="152" t="s">
        <v>269</v>
      </c>
      <c r="D67" s="151" t="s">
        <v>274</v>
      </c>
      <c r="E67" s="154" t="s">
        <v>112</v>
      </c>
      <c r="F67" s="9" t="s">
        <v>113</v>
      </c>
    </row>
    <row r="68" spans="1:6" ht="15.75" customHeight="1">
      <c r="A68" s="151" t="s">
        <v>107</v>
      </c>
      <c r="B68" s="151" t="s">
        <v>277</v>
      </c>
      <c r="C68" s="152" t="s">
        <v>269</v>
      </c>
      <c r="D68" s="151" t="s">
        <v>275</v>
      </c>
      <c r="E68" s="154" t="s">
        <v>114</v>
      </c>
      <c r="F68" s="9" t="s">
        <v>115</v>
      </c>
    </row>
    <row r="69" spans="1:6" ht="15.75" customHeight="1">
      <c r="A69" s="151" t="s">
        <v>107</v>
      </c>
      <c r="B69" s="151" t="s">
        <v>277</v>
      </c>
      <c r="C69" s="152" t="s">
        <v>269</v>
      </c>
      <c r="D69" s="151" t="s">
        <v>276</v>
      </c>
      <c r="E69" s="154" t="s">
        <v>116</v>
      </c>
      <c r="F69" s="9" t="s">
        <v>117</v>
      </c>
    </row>
    <row r="70" spans="1:6" ht="15.75" customHeight="1">
      <c r="A70" s="151" t="s">
        <v>107</v>
      </c>
      <c r="B70" s="151" t="s">
        <v>278</v>
      </c>
      <c r="C70" s="152" t="s">
        <v>269</v>
      </c>
      <c r="D70" s="151" t="s">
        <v>272</v>
      </c>
      <c r="E70" s="154" t="s">
        <v>112</v>
      </c>
      <c r="F70" s="9" t="s">
        <v>113</v>
      </c>
    </row>
    <row r="71" spans="1:6" ht="15.75" customHeight="1">
      <c r="A71" s="151" t="s">
        <v>107</v>
      </c>
      <c r="B71" s="151" t="s">
        <v>278</v>
      </c>
      <c r="C71" s="152" t="s">
        <v>269</v>
      </c>
      <c r="D71" s="151" t="s">
        <v>273</v>
      </c>
      <c r="E71" s="154" t="s">
        <v>114</v>
      </c>
      <c r="F71" s="9" t="s">
        <v>115</v>
      </c>
    </row>
    <row r="72" spans="1:6" ht="15.75" customHeight="1">
      <c r="A72" s="151" t="s">
        <v>107</v>
      </c>
      <c r="B72" s="151" t="s">
        <v>278</v>
      </c>
      <c r="C72" s="152" t="s">
        <v>269</v>
      </c>
      <c r="D72" s="151" t="s">
        <v>274</v>
      </c>
      <c r="E72" s="154" t="s">
        <v>114</v>
      </c>
      <c r="F72" s="9" t="s">
        <v>115</v>
      </c>
    </row>
    <row r="73" spans="1:6" ht="15.75" customHeight="1">
      <c r="A73" s="151" t="s">
        <v>107</v>
      </c>
      <c r="B73" s="151" t="s">
        <v>278</v>
      </c>
      <c r="C73" s="152" t="s">
        <v>269</v>
      </c>
      <c r="D73" s="151" t="s">
        <v>275</v>
      </c>
      <c r="E73" s="154" t="s">
        <v>116</v>
      </c>
      <c r="F73" s="9" t="s">
        <v>117</v>
      </c>
    </row>
    <row r="74" spans="1:6" ht="15.75" customHeight="1">
      <c r="A74" s="151" t="s">
        <v>107</v>
      </c>
      <c r="B74" s="151" t="s">
        <v>278</v>
      </c>
      <c r="C74" s="152" t="s">
        <v>269</v>
      </c>
      <c r="D74" s="151" t="s">
        <v>276</v>
      </c>
      <c r="E74" s="154" t="s">
        <v>116</v>
      </c>
      <c r="F74" s="9" t="s">
        <v>117</v>
      </c>
    </row>
    <row r="75" spans="1:6" ht="15.75" customHeight="1">
      <c r="A75" s="151" t="s">
        <v>118</v>
      </c>
      <c r="B75" s="151" t="s">
        <v>269</v>
      </c>
      <c r="C75" s="151" t="s">
        <v>279</v>
      </c>
      <c r="D75" s="151" t="s">
        <v>272</v>
      </c>
      <c r="E75" s="153" t="s">
        <v>108</v>
      </c>
      <c r="F75" s="10" t="s">
        <v>109</v>
      </c>
    </row>
    <row r="76" spans="1:6" ht="15.75" customHeight="1">
      <c r="A76" s="151" t="s">
        <v>118</v>
      </c>
      <c r="B76" s="151" t="s">
        <v>269</v>
      </c>
      <c r="C76" s="151" t="s">
        <v>279</v>
      </c>
      <c r="D76" s="151" t="s">
        <v>273</v>
      </c>
      <c r="E76" s="153" t="s">
        <v>108</v>
      </c>
      <c r="F76" s="10" t="s">
        <v>109</v>
      </c>
    </row>
    <row r="77" spans="1:6" ht="15.75" customHeight="1">
      <c r="A77" s="151" t="s">
        <v>118</v>
      </c>
      <c r="B77" s="151" t="s">
        <v>269</v>
      </c>
      <c r="C77" s="151" t="s">
        <v>279</v>
      </c>
      <c r="D77" s="151" t="s">
        <v>274</v>
      </c>
      <c r="E77" s="153" t="s">
        <v>110</v>
      </c>
      <c r="F77" s="10" t="s">
        <v>109</v>
      </c>
    </row>
    <row r="78" spans="1:6" ht="15.75" customHeight="1">
      <c r="A78" s="151" t="s">
        <v>118</v>
      </c>
      <c r="B78" s="151" t="s">
        <v>269</v>
      </c>
      <c r="C78" s="151" t="s">
        <v>279</v>
      </c>
      <c r="D78" s="151" t="s">
        <v>275</v>
      </c>
      <c r="E78" s="153" t="s">
        <v>110</v>
      </c>
      <c r="F78" s="10" t="s">
        <v>109</v>
      </c>
    </row>
    <row r="79" spans="1:6" ht="15.75" customHeight="1">
      <c r="A79" s="151" t="s">
        <v>118</v>
      </c>
      <c r="B79" s="151" t="s">
        <v>269</v>
      </c>
      <c r="C79" s="151" t="s">
        <v>279</v>
      </c>
      <c r="D79" s="151" t="s">
        <v>276</v>
      </c>
      <c r="E79" s="153" t="s">
        <v>112</v>
      </c>
      <c r="F79" s="10" t="s">
        <v>111</v>
      </c>
    </row>
    <row r="80" spans="1:6" ht="15.75" customHeight="1">
      <c r="A80" s="151" t="s">
        <v>118</v>
      </c>
      <c r="B80" s="151" t="s">
        <v>269</v>
      </c>
      <c r="C80" s="151" t="s">
        <v>280</v>
      </c>
      <c r="D80" s="151" t="s">
        <v>272</v>
      </c>
      <c r="E80" s="154" t="s">
        <v>110</v>
      </c>
      <c r="F80" s="9" t="s">
        <v>111</v>
      </c>
    </row>
    <row r="81" spans="1:6" ht="15.75" customHeight="1">
      <c r="A81" s="151" t="s">
        <v>118</v>
      </c>
      <c r="B81" s="151" t="s">
        <v>269</v>
      </c>
      <c r="C81" s="151" t="s">
        <v>280</v>
      </c>
      <c r="D81" s="151" t="s">
        <v>273</v>
      </c>
      <c r="E81" s="154" t="s">
        <v>110</v>
      </c>
      <c r="F81" s="9" t="s">
        <v>111</v>
      </c>
    </row>
    <row r="82" spans="1:6" ht="15.75" customHeight="1">
      <c r="A82" s="151" t="s">
        <v>118</v>
      </c>
      <c r="B82" s="151" t="s">
        <v>269</v>
      </c>
      <c r="C82" s="151" t="s">
        <v>280</v>
      </c>
      <c r="D82" s="151" t="s">
        <v>274</v>
      </c>
      <c r="E82" s="154" t="s">
        <v>112</v>
      </c>
      <c r="F82" s="9" t="s">
        <v>111</v>
      </c>
    </row>
    <row r="83" spans="1:6" ht="15.75" customHeight="1">
      <c r="A83" s="151" t="s">
        <v>118</v>
      </c>
      <c r="B83" s="151" t="s">
        <v>269</v>
      </c>
      <c r="C83" s="151" t="s">
        <v>280</v>
      </c>
      <c r="D83" s="151" t="s">
        <v>275</v>
      </c>
      <c r="E83" s="154" t="s">
        <v>112</v>
      </c>
      <c r="F83" s="9" t="s">
        <v>111</v>
      </c>
    </row>
    <row r="84" spans="1:6" ht="15.75" customHeight="1">
      <c r="A84" s="151" t="s">
        <v>118</v>
      </c>
      <c r="B84" s="151" t="s">
        <v>269</v>
      </c>
      <c r="C84" s="151" t="s">
        <v>280</v>
      </c>
      <c r="D84" s="151" t="s">
        <v>276</v>
      </c>
      <c r="E84" s="154" t="s">
        <v>114</v>
      </c>
      <c r="F84" s="9" t="s">
        <v>111</v>
      </c>
    </row>
    <row r="85" spans="1:6" ht="15.75" customHeight="1">
      <c r="A85" s="151" t="s">
        <v>118</v>
      </c>
      <c r="B85" s="151" t="s">
        <v>269</v>
      </c>
      <c r="C85" s="151" t="s">
        <v>281</v>
      </c>
      <c r="D85" s="151" t="s">
        <v>272</v>
      </c>
      <c r="E85" s="154" t="s">
        <v>110</v>
      </c>
      <c r="F85" s="9" t="s">
        <v>113</v>
      </c>
    </row>
    <row r="86" spans="1:6" ht="15.75" customHeight="1">
      <c r="A86" s="151" t="s">
        <v>118</v>
      </c>
      <c r="B86" s="151" t="s">
        <v>269</v>
      </c>
      <c r="C86" s="151" t="s">
        <v>281</v>
      </c>
      <c r="D86" s="151" t="s">
        <v>273</v>
      </c>
      <c r="E86" s="154" t="s">
        <v>112</v>
      </c>
      <c r="F86" s="9" t="s">
        <v>113</v>
      </c>
    </row>
    <row r="87" spans="1:6" ht="15.75" customHeight="1">
      <c r="A87" s="151" t="s">
        <v>118</v>
      </c>
      <c r="B87" s="151" t="s">
        <v>269</v>
      </c>
      <c r="C87" s="151" t="s">
        <v>281</v>
      </c>
      <c r="D87" s="151" t="s">
        <v>274</v>
      </c>
      <c r="E87" s="154" t="s">
        <v>112</v>
      </c>
      <c r="F87" s="9" t="s">
        <v>113</v>
      </c>
    </row>
    <row r="88" spans="1:6" ht="15.75" customHeight="1">
      <c r="A88" s="151" t="s">
        <v>118</v>
      </c>
      <c r="B88" s="151" t="s">
        <v>269</v>
      </c>
      <c r="C88" s="151" t="s">
        <v>281</v>
      </c>
      <c r="D88" s="151" t="s">
        <v>275</v>
      </c>
      <c r="E88" s="154" t="s">
        <v>114</v>
      </c>
      <c r="F88" s="9" t="s">
        <v>113</v>
      </c>
    </row>
    <row r="89" spans="1:6" ht="15.75" customHeight="1">
      <c r="A89" s="151" t="s">
        <v>118</v>
      </c>
      <c r="B89" s="151" t="s">
        <v>269</v>
      </c>
      <c r="C89" s="151" t="s">
        <v>281</v>
      </c>
      <c r="D89" s="151" t="s">
        <v>276</v>
      </c>
      <c r="E89" s="154" t="s">
        <v>114</v>
      </c>
      <c r="F89" s="9" t="s">
        <v>113</v>
      </c>
    </row>
    <row r="90" spans="1:6" ht="15.75" customHeight="1">
      <c r="A90" s="151" t="s">
        <v>118</v>
      </c>
      <c r="B90" s="151" t="s">
        <v>269</v>
      </c>
      <c r="C90" s="151" t="s">
        <v>282</v>
      </c>
      <c r="D90" s="151" t="s">
        <v>272</v>
      </c>
      <c r="E90" s="154" t="s">
        <v>110</v>
      </c>
      <c r="F90" s="9" t="s">
        <v>115</v>
      </c>
    </row>
    <row r="91" spans="1:6" ht="15.75" customHeight="1">
      <c r="A91" s="151" t="s">
        <v>118</v>
      </c>
      <c r="B91" s="151" t="s">
        <v>269</v>
      </c>
      <c r="C91" s="151" t="s">
        <v>282</v>
      </c>
      <c r="D91" s="151" t="s">
        <v>273</v>
      </c>
      <c r="E91" s="154" t="s">
        <v>112</v>
      </c>
      <c r="F91" s="9" t="s">
        <v>115</v>
      </c>
    </row>
    <row r="92" spans="1:6" ht="15.75" customHeight="1">
      <c r="A92" s="151" t="s">
        <v>118</v>
      </c>
      <c r="B92" s="151" t="s">
        <v>269</v>
      </c>
      <c r="C92" s="151" t="s">
        <v>282</v>
      </c>
      <c r="D92" s="151" t="s">
        <v>274</v>
      </c>
      <c r="E92" s="154" t="s">
        <v>112</v>
      </c>
      <c r="F92" s="9" t="s">
        <v>115</v>
      </c>
    </row>
    <row r="93" spans="1:6" ht="15.75" customHeight="1">
      <c r="A93" s="151" t="s">
        <v>118</v>
      </c>
      <c r="B93" s="151" t="s">
        <v>269</v>
      </c>
      <c r="C93" s="151" t="s">
        <v>282</v>
      </c>
      <c r="D93" s="151" t="s">
        <v>275</v>
      </c>
      <c r="E93" s="154" t="s">
        <v>114</v>
      </c>
      <c r="F93" s="9" t="s">
        <v>115</v>
      </c>
    </row>
    <row r="94" spans="1:6" ht="15.75" customHeight="1">
      <c r="A94" s="151" t="s">
        <v>118</v>
      </c>
      <c r="B94" s="151" t="s">
        <v>269</v>
      </c>
      <c r="C94" s="151" t="s">
        <v>282</v>
      </c>
      <c r="D94" s="151" t="s">
        <v>276</v>
      </c>
      <c r="E94" s="154" t="s">
        <v>116</v>
      </c>
      <c r="F94" s="9" t="s">
        <v>115</v>
      </c>
    </row>
    <row r="95" spans="1:6" ht="15.75" customHeight="1">
      <c r="A95" s="151" t="s">
        <v>118</v>
      </c>
      <c r="B95" s="151" t="s">
        <v>269</v>
      </c>
      <c r="C95" s="151" t="s">
        <v>283</v>
      </c>
      <c r="D95" s="151" t="s">
        <v>269</v>
      </c>
      <c r="E95" s="154" t="s">
        <v>116</v>
      </c>
      <c r="F95" s="9" t="s">
        <v>117</v>
      </c>
    </row>
    <row r="97" spans="1:5" ht="15" customHeight="1">
      <c r="A97" s="100" t="s">
        <v>100</v>
      </c>
      <c r="B97" s="178" t="s">
        <v>50</v>
      </c>
      <c r="C97" s="179"/>
      <c r="D97" s="180"/>
      <c r="E97" s="38"/>
    </row>
    <row r="98" spans="1:5" ht="15" customHeight="1">
      <c r="A98" s="99" t="s">
        <v>88</v>
      </c>
      <c r="B98" s="181" t="s">
        <v>119</v>
      </c>
      <c r="C98" s="182"/>
      <c r="D98" s="183"/>
      <c r="E98" s="38"/>
    </row>
    <row r="99" spans="1:5" ht="15" customHeight="1">
      <c r="A99" s="40"/>
      <c r="B99" s="40"/>
      <c r="C99" s="40"/>
      <c r="D99" s="38"/>
      <c r="E99" s="38"/>
    </row>
    <row r="100" spans="1:5" ht="15" customHeight="1">
      <c r="A100" s="161" t="s">
        <v>90</v>
      </c>
      <c r="B100" s="160" t="s">
        <v>105</v>
      </c>
      <c r="C100" s="160" t="s">
        <v>120</v>
      </c>
      <c r="D100" s="160" t="s">
        <v>121</v>
      </c>
    </row>
    <row r="101" spans="1:5" ht="15" customHeight="1">
      <c r="A101" s="155" t="s">
        <v>92</v>
      </c>
      <c r="B101" s="155"/>
      <c r="C101" s="156"/>
      <c r="D101" s="157" t="s">
        <v>122</v>
      </c>
      <c r="E101" s="162" t="s">
        <v>2433</v>
      </c>
    </row>
    <row r="102" spans="1:5" ht="15" customHeight="1">
      <c r="A102" s="155" t="s">
        <v>91</v>
      </c>
      <c r="B102" s="155" t="s">
        <v>123</v>
      </c>
      <c r="C102" s="158" t="s">
        <v>124</v>
      </c>
      <c r="D102" s="157" t="s">
        <v>125</v>
      </c>
    </row>
    <row r="103" spans="1:5" ht="15" customHeight="1">
      <c r="A103" s="155" t="s">
        <v>91</v>
      </c>
      <c r="B103" s="155" t="s">
        <v>123</v>
      </c>
      <c r="C103" s="158" t="s">
        <v>126</v>
      </c>
      <c r="D103" s="157" t="s">
        <v>127</v>
      </c>
    </row>
    <row r="104" spans="1:5" ht="15" customHeight="1">
      <c r="A104" s="155" t="s">
        <v>91</v>
      </c>
      <c r="B104" s="155" t="s">
        <v>123</v>
      </c>
      <c r="C104" s="158" t="s">
        <v>128</v>
      </c>
      <c r="D104" s="157" t="s">
        <v>129</v>
      </c>
    </row>
    <row r="105" spans="1:5" ht="15" customHeight="1">
      <c r="A105" s="155" t="s">
        <v>91</v>
      </c>
      <c r="B105" s="155" t="s">
        <v>112</v>
      </c>
      <c r="C105" s="158" t="s">
        <v>124</v>
      </c>
      <c r="D105" s="157" t="s">
        <v>130</v>
      </c>
    </row>
    <row r="106" spans="1:5" ht="15" customHeight="1">
      <c r="A106" s="155" t="s">
        <v>91</v>
      </c>
      <c r="B106" s="155" t="s">
        <v>112</v>
      </c>
      <c r="C106" s="158" t="s">
        <v>126</v>
      </c>
      <c r="D106" s="157" t="s">
        <v>125</v>
      </c>
    </row>
    <row r="107" spans="1:5" ht="15" customHeight="1">
      <c r="A107" s="155" t="s">
        <v>91</v>
      </c>
      <c r="B107" s="155" t="s">
        <v>112</v>
      </c>
      <c r="C107" s="158" t="s">
        <v>128</v>
      </c>
      <c r="D107" s="157" t="s">
        <v>131</v>
      </c>
    </row>
    <row r="108" spans="1:5" ht="15" customHeight="1">
      <c r="A108" s="155" t="s">
        <v>91</v>
      </c>
      <c r="B108" s="155" t="s">
        <v>132</v>
      </c>
      <c r="C108" s="158" t="s">
        <v>124</v>
      </c>
      <c r="D108" s="157" t="s">
        <v>133</v>
      </c>
    </row>
    <row r="109" spans="1:5" ht="15" customHeight="1">
      <c r="A109" s="155" t="s">
        <v>91</v>
      </c>
      <c r="B109" s="155" t="s">
        <v>132</v>
      </c>
      <c r="C109" s="158" t="s">
        <v>126</v>
      </c>
      <c r="D109" s="157" t="s">
        <v>130</v>
      </c>
    </row>
    <row r="110" spans="1:5" ht="15" customHeight="1">
      <c r="A110" s="155" t="s">
        <v>91</v>
      </c>
      <c r="B110" s="155" t="s">
        <v>132</v>
      </c>
      <c r="C110" s="158" t="s">
        <v>128</v>
      </c>
      <c r="D110" s="157" t="s">
        <v>125</v>
      </c>
    </row>
    <row r="111" spans="1:5" ht="15" customHeight="1">
      <c r="A111" s="38"/>
      <c r="B111" s="59"/>
      <c r="C111" s="59"/>
      <c r="D111" s="38"/>
      <c r="E111" s="38"/>
    </row>
    <row r="112" spans="1:5" ht="15" customHeight="1">
      <c r="A112" s="100" t="s">
        <v>100</v>
      </c>
      <c r="B112" s="178" t="s">
        <v>52</v>
      </c>
      <c r="C112" s="179"/>
      <c r="D112" s="180"/>
      <c r="E112" s="38"/>
    </row>
    <row r="113" spans="1:4" ht="15" customHeight="1">
      <c r="A113" s="99" t="s">
        <v>88</v>
      </c>
      <c r="B113" s="186" t="s">
        <v>134</v>
      </c>
      <c r="C113" s="182"/>
      <c r="D113" s="183"/>
    </row>
    <row r="114" spans="1:4" ht="15" customHeight="1">
      <c r="A114" s="40"/>
      <c r="B114" s="40"/>
      <c r="C114" s="40"/>
      <c r="D114" s="40"/>
    </row>
    <row r="115" spans="1:4" ht="15" customHeight="1">
      <c r="A115" s="163" t="s">
        <v>90</v>
      </c>
      <c r="B115" s="164" t="s">
        <v>105</v>
      </c>
      <c r="C115" s="164" t="s">
        <v>120</v>
      </c>
      <c r="D115" s="164" t="s">
        <v>52</v>
      </c>
    </row>
    <row r="116" spans="1:4" ht="15" customHeight="1">
      <c r="A116" s="155" t="s">
        <v>92</v>
      </c>
      <c r="B116" s="155"/>
      <c r="C116" s="156"/>
      <c r="D116" s="157">
        <v>30000</v>
      </c>
    </row>
    <row r="117" spans="1:4" ht="15" customHeight="1">
      <c r="A117" s="155" t="s">
        <v>91</v>
      </c>
      <c r="B117" s="155" t="s">
        <v>123</v>
      </c>
      <c r="C117" s="158" t="s">
        <v>124</v>
      </c>
      <c r="D117" s="157">
        <v>50000</v>
      </c>
    </row>
    <row r="118" spans="1:4" ht="15" customHeight="1">
      <c r="A118" s="155" t="s">
        <v>91</v>
      </c>
      <c r="B118" s="155" t="s">
        <v>123</v>
      </c>
      <c r="C118" s="158" t="s">
        <v>126</v>
      </c>
      <c r="D118" s="157">
        <v>100000</v>
      </c>
    </row>
    <row r="119" spans="1:4" ht="15" customHeight="1">
      <c r="A119" s="155" t="s">
        <v>91</v>
      </c>
      <c r="B119" s="155" t="s">
        <v>123</v>
      </c>
      <c r="C119" s="158" t="s">
        <v>128</v>
      </c>
      <c r="D119" s="157">
        <v>120000</v>
      </c>
    </row>
    <row r="120" spans="1:4" ht="15" customHeight="1">
      <c r="A120" s="155" t="s">
        <v>91</v>
      </c>
      <c r="B120" s="155" t="s">
        <v>112</v>
      </c>
      <c r="C120" s="158" t="s">
        <v>124</v>
      </c>
      <c r="D120" s="157">
        <v>40000</v>
      </c>
    </row>
    <row r="121" spans="1:4" ht="15" customHeight="1">
      <c r="A121" s="155" t="s">
        <v>91</v>
      </c>
      <c r="B121" s="155" t="s">
        <v>112</v>
      </c>
      <c r="C121" s="158" t="s">
        <v>126</v>
      </c>
      <c r="D121" s="157">
        <v>50000</v>
      </c>
    </row>
    <row r="122" spans="1:4" ht="15" customHeight="1">
      <c r="A122" s="155" t="s">
        <v>91</v>
      </c>
      <c r="B122" s="155" t="s">
        <v>112</v>
      </c>
      <c r="C122" s="158" t="s">
        <v>128</v>
      </c>
      <c r="D122" s="157">
        <v>70000</v>
      </c>
    </row>
    <row r="123" spans="1:4" ht="15" customHeight="1">
      <c r="A123" s="155" t="s">
        <v>91</v>
      </c>
      <c r="B123" s="155" t="s">
        <v>132</v>
      </c>
      <c r="C123" s="158" t="s">
        <v>135</v>
      </c>
      <c r="D123" s="157">
        <v>30000</v>
      </c>
    </row>
    <row r="124" spans="1:4" ht="15" customHeight="1">
      <c r="A124" s="155" t="s">
        <v>91</v>
      </c>
      <c r="B124" s="155" t="s">
        <v>132</v>
      </c>
      <c r="C124" s="158" t="s">
        <v>126</v>
      </c>
      <c r="D124" s="157">
        <v>40000</v>
      </c>
    </row>
    <row r="125" spans="1:4" ht="15" customHeight="1">
      <c r="A125" s="155" t="s">
        <v>91</v>
      </c>
      <c r="B125" s="155" t="s">
        <v>132</v>
      </c>
      <c r="C125" s="158" t="s">
        <v>128</v>
      </c>
      <c r="D125" s="157" t="s">
        <v>136</v>
      </c>
    </row>
    <row r="126" spans="1:4" ht="15" customHeight="1">
      <c r="A126" s="38"/>
      <c r="B126" s="59"/>
      <c r="C126" s="59"/>
      <c r="D126" s="38"/>
    </row>
    <row r="127" spans="1:4" ht="15" customHeight="1">
      <c r="A127" s="100" t="s">
        <v>100</v>
      </c>
      <c r="B127" s="178" t="s">
        <v>137</v>
      </c>
      <c r="C127" s="179"/>
      <c r="D127" s="180"/>
    </row>
    <row r="128" spans="1:4" ht="15" customHeight="1">
      <c r="A128" s="99" t="s">
        <v>88</v>
      </c>
      <c r="B128" s="181" t="s">
        <v>138</v>
      </c>
      <c r="C128" s="182"/>
      <c r="D128" s="183"/>
    </row>
    <row r="130" spans="1:4" ht="15" customHeight="1">
      <c r="A130" s="163" t="s">
        <v>90</v>
      </c>
      <c r="B130" s="164" t="s">
        <v>105</v>
      </c>
      <c r="C130" s="164" t="s">
        <v>120</v>
      </c>
      <c r="D130" s="164" t="s">
        <v>139</v>
      </c>
    </row>
    <row r="131" spans="1:4" ht="15" customHeight="1">
      <c r="A131" s="155" t="s">
        <v>92</v>
      </c>
      <c r="B131" s="155"/>
      <c r="C131" s="156"/>
      <c r="D131" s="157" t="s">
        <v>140</v>
      </c>
    </row>
    <row r="132" spans="1:4" ht="15" customHeight="1">
      <c r="A132" s="155" t="s">
        <v>91</v>
      </c>
      <c r="B132" s="155" t="s">
        <v>123</v>
      </c>
      <c r="C132" s="158" t="s">
        <v>124</v>
      </c>
      <c r="D132" s="157" t="s">
        <v>141</v>
      </c>
    </row>
    <row r="133" spans="1:4" ht="15" customHeight="1">
      <c r="A133" s="155" t="s">
        <v>91</v>
      </c>
      <c r="B133" s="155" t="s">
        <v>123</v>
      </c>
      <c r="C133" s="158" t="s">
        <v>126</v>
      </c>
      <c r="D133" s="157" t="s">
        <v>142</v>
      </c>
    </row>
    <row r="134" spans="1:4" ht="15" customHeight="1">
      <c r="A134" s="155" t="s">
        <v>91</v>
      </c>
      <c r="B134" s="155" t="s">
        <v>123</v>
      </c>
      <c r="C134" s="158" t="s">
        <v>128</v>
      </c>
      <c r="D134" s="157" t="s">
        <v>143</v>
      </c>
    </row>
    <row r="135" spans="1:4" ht="15" customHeight="1">
      <c r="A135" s="155" t="s">
        <v>91</v>
      </c>
      <c r="B135" s="155" t="s">
        <v>112</v>
      </c>
      <c r="C135" s="158" t="s">
        <v>124</v>
      </c>
      <c r="D135" s="157" t="s">
        <v>144</v>
      </c>
    </row>
    <row r="136" spans="1:4" ht="15" customHeight="1">
      <c r="A136" s="155" t="s">
        <v>91</v>
      </c>
      <c r="B136" s="155" t="s">
        <v>112</v>
      </c>
      <c r="C136" s="158" t="s">
        <v>126</v>
      </c>
      <c r="D136" s="157" t="s">
        <v>145</v>
      </c>
    </row>
    <row r="137" spans="1:4" ht="15" customHeight="1">
      <c r="A137" s="155" t="s">
        <v>91</v>
      </c>
      <c r="B137" s="155" t="s">
        <v>112</v>
      </c>
      <c r="C137" s="158" t="s">
        <v>128</v>
      </c>
      <c r="D137" s="157" t="s">
        <v>141</v>
      </c>
    </row>
    <row r="138" spans="1:4" ht="15" customHeight="1">
      <c r="A138" s="155" t="s">
        <v>91</v>
      </c>
      <c r="B138" s="155" t="s">
        <v>132</v>
      </c>
      <c r="C138" s="158" t="s">
        <v>124</v>
      </c>
      <c r="D138" s="157" t="s">
        <v>140</v>
      </c>
    </row>
    <row r="139" spans="1:4" ht="15" customHeight="1">
      <c r="A139" s="155" t="s">
        <v>91</v>
      </c>
      <c r="B139" s="155" t="s">
        <v>132</v>
      </c>
      <c r="C139" s="158" t="s">
        <v>126</v>
      </c>
      <c r="D139" s="157" t="s">
        <v>144</v>
      </c>
    </row>
    <row r="140" spans="1:4" ht="15" customHeight="1">
      <c r="A140" s="155" t="s">
        <v>91</v>
      </c>
      <c r="B140" s="155" t="s">
        <v>132</v>
      </c>
      <c r="C140" s="158" t="s">
        <v>128</v>
      </c>
      <c r="D140" s="157" t="s">
        <v>145</v>
      </c>
    </row>
    <row r="142" spans="1:4" ht="15" customHeight="1">
      <c r="A142" s="100" t="s">
        <v>100</v>
      </c>
      <c r="B142" s="178" t="s">
        <v>146</v>
      </c>
      <c r="C142" s="179"/>
      <c r="D142" s="180"/>
    </row>
    <row r="143" spans="1:4" ht="15" customHeight="1">
      <c r="A143" s="99" t="s">
        <v>88</v>
      </c>
      <c r="B143" s="186" t="s">
        <v>147</v>
      </c>
      <c r="C143" s="182"/>
      <c r="D143" s="183"/>
    </row>
    <row r="145" spans="1:6" ht="33" customHeight="1">
      <c r="A145" s="163" t="s">
        <v>148</v>
      </c>
      <c r="B145" s="164" t="s">
        <v>105</v>
      </c>
      <c r="C145" s="168" t="s">
        <v>149</v>
      </c>
      <c r="D145" s="168" t="s">
        <v>150</v>
      </c>
      <c r="E145" s="163" t="s">
        <v>151</v>
      </c>
      <c r="F145" s="165"/>
    </row>
    <row r="146" spans="1:6" ht="15" customHeight="1">
      <c r="A146" s="189" t="s">
        <v>152</v>
      </c>
      <c r="B146" s="166" t="s">
        <v>108</v>
      </c>
      <c r="C146" s="192">
        <v>1.95E-2</v>
      </c>
      <c r="D146" s="167">
        <v>2.0000000000000001E-4</v>
      </c>
      <c r="E146" s="132">
        <v>1.9699999999999999E-2</v>
      </c>
      <c r="F146" s="165">
        <f>E146</f>
        <v>1.9699999999999999E-2</v>
      </c>
    </row>
    <row r="147" spans="1:6" ht="15" customHeight="1">
      <c r="A147" s="190"/>
      <c r="B147" s="166" t="s">
        <v>110</v>
      </c>
      <c r="C147" s="193"/>
      <c r="D147" s="167">
        <v>5.0000000000000001E-4</v>
      </c>
      <c r="E147" s="132">
        <v>0.02</v>
      </c>
      <c r="F147" s="165">
        <f t="shared" ref="F147:F165" si="0">E147</f>
        <v>0.02</v>
      </c>
    </row>
    <row r="148" spans="1:6" ht="15" customHeight="1">
      <c r="A148" s="190"/>
      <c r="B148" s="166" t="s">
        <v>112</v>
      </c>
      <c r="C148" s="193"/>
      <c r="D148" s="167">
        <v>1.5E-3</v>
      </c>
      <c r="E148" s="132">
        <v>2.1000000000000001E-2</v>
      </c>
      <c r="F148" s="165">
        <f t="shared" si="0"/>
        <v>2.1000000000000001E-2</v>
      </c>
    </row>
    <row r="149" spans="1:6" ht="15" customHeight="1">
      <c r="A149" s="190"/>
      <c r="B149" s="166" t="s">
        <v>114</v>
      </c>
      <c r="C149" s="193"/>
      <c r="D149" s="167">
        <v>1.8E-3</v>
      </c>
      <c r="E149" s="132">
        <v>2.1299999999999999E-2</v>
      </c>
      <c r="F149" s="165">
        <f t="shared" si="0"/>
        <v>2.1299999999999999E-2</v>
      </c>
    </row>
    <row r="150" spans="1:6" ht="15" customHeight="1">
      <c r="A150" s="191"/>
      <c r="B150" s="166" t="s">
        <v>116</v>
      </c>
      <c r="C150" s="194"/>
      <c r="D150" s="167">
        <v>2.3999999999999998E-3</v>
      </c>
      <c r="E150" s="132">
        <v>2.1899999999999999E-2</v>
      </c>
      <c r="F150" s="165">
        <f t="shared" si="0"/>
        <v>2.1899999999999999E-2</v>
      </c>
    </row>
    <row r="151" spans="1:6" ht="15" customHeight="1">
      <c r="A151" s="189" t="s">
        <v>153</v>
      </c>
      <c r="B151" s="166" t="s">
        <v>108</v>
      </c>
      <c r="C151" s="192">
        <v>2.4E-2</v>
      </c>
      <c r="D151" s="167">
        <v>2.0000000000000001E-4</v>
      </c>
      <c r="E151" s="132">
        <v>2.4199999999999999E-2</v>
      </c>
      <c r="F151" s="165">
        <f t="shared" si="0"/>
        <v>2.4199999999999999E-2</v>
      </c>
    </row>
    <row r="152" spans="1:6" ht="15" customHeight="1">
      <c r="A152" s="190"/>
      <c r="B152" s="166" t="s">
        <v>110</v>
      </c>
      <c r="C152" s="193"/>
      <c r="D152" s="167">
        <v>5.0000000000000001E-4</v>
      </c>
      <c r="E152" s="132">
        <v>2.4500000000000001E-2</v>
      </c>
      <c r="F152" s="165">
        <f t="shared" si="0"/>
        <v>2.4500000000000001E-2</v>
      </c>
    </row>
    <row r="153" spans="1:6" ht="15" customHeight="1">
      <c r="A153" s="190"/>
      <c r="B153" s="166" t="s">
        <v>112</v>
      </c>
      <c r="C153" s="193"/>
      <c r="D153" s="167">
        <v>1.5E-3</v>
      </c>
      <c r="E153" s="132">
        <v>2.5500000000000002E-2</v>
      </c>
      <c r="F153" s="165">
        <f t="shared" si="0"/>
        <v>2.5500000000000002E-2</v>
      </c>
    </row>
    <row r="154" spans="1:6" ht="15" customHeight="1">
      <c r="A154" s="190"/>
      <c r="B154" s="166" t="s">
        <v>114</v>
      </c>
      <c r="C154" s="193"/>
      <c r="D154" s="167">
        <v>1.8E-3</v>
      </c>
      <c r="E154" s="132">
        <v>2.58E-2</v>
      </c>
      <c r="F154" s="165">
        <f t="shared" si="0"/>
        <v>2.58E-2</v>
      </c>
    </row>
    <row r="155" spans="1:6" ht="15" customHeight="1">
      <c r="A155" s="191"/>
      <c r="B155" s="166" t="s">
        <v>116</v>
      </c>
      <c r="C155" s="194"/>
      <c r="D155" s="167">
        <v>2.3999999999999998E-3</v>
      </c>
      <c r="E155" s="132">
        <v>2.64E-2</v>
      </c>
      <c r="F155" s="165">
        <f t="shared" si="0"/>
        <v>2.64E-2</v>
      </c>
    </row>
    <row r="156" spans="1:6" ht="15" customHeight="1">
      <c r="A156" s="187" t="s">
        <v>154</v>
      </c>
      <c r="B156" s="166" t="s">
        <v>108</v>
      </c>
      <c r="C156" s="188">
        <v>2.52E-2</v>
      </c>
      <c r="D156" s="167">
        <v>2.0000000000000001E-4</v>
      </c>
      <c r="E156" s="132">
        <v>2.5399999999999999E-2</v>
      </c>
      <c r="F156" s="165">
        <f t="shared" si="0"/>
        <v>2.5399999999999999E-2</v>
      </c>
    </row>
    <row r="157" spans="1:6" ht="15" customHeight="1">
      <c r="A157" s="187"/>
      <c r="B157" s="166" t="s">
        <v>110</v>
      </c>
      <c r="C157" s="188"/>
      <c r="D157" s="167">
        <v>5.0000000000000001E-4</v>
      </c>
      <c r="E157" s="132">
        <v>2.5700000000000001E-2</v>
      </c>
      <c r="F157" s="165">
        <f t="shared" si="0"/>
        <v>2.5700000000000001E-2</v>
      </c>
    </row>
    <row r="158" spans="1:6" ht="15" customHeight="1">
      <c r="A158" s="187"/>
      <c r="B158" s="166" t="s">
        <v>112</v>
      </c>
      <c r="C158" s="188"/>
      <c r="D158" s="167">
        <v>1.5E-3</v>
      </c>
      <c r="E158" s="132">
        <v>2.6700000000000002E-2</v>
      </c>
      <c r="F158" s="165">
        <f t="shared" si="0"/>
        <v>2.6700000000000002E-2</v>
      </c>
    </row>
    <row r="159" spans="1:6" ht="15" customHeight="1">
      <c r="A159" s="187"/>
      <c r="B159" s="166" t="s">
        <v>114</v>
      </c>
      <c r="C159" s="188"/>
      <c r="D159" s="167">
        <v>1.8E-3</v>
      </c>
      <c r="E159" s="132">
        <v>2.7E-2</v>
      </c>
      <c r="F159" s="165">
        <f t="shared" si="0"/>
        <v>2.7E-2</v>
      </c>
    </row>
    <row r="160" spans="1:6" ht="15" customHeight="1">
      <c r="A160" s="187"/>
      <c r="B160" s="166" t="s">
        <v>116</v>
      </c>
      <c r="C160" s="188"/>
      <c r="D160" s="167">
        <v>2.3999999999999998E-3</v>
      </c>
      <c r="E160" s="132">
        <v>2.76E-2</v>
      </c>
      <c r="F160" s="165">
        <f t="shared" si="0"/>
        <v>2.76E-2</v>
      </c>
    </row>
    <row r="161" spans="1:6" ht="15" customHeight="1">
      <c r="A161" s="189" t="s">
        <v>155</v>
      </c>
      <c r="B161" s="166" t="s">
        <v>108</v>
      </c>
      <c r="C161" s="192">
        <v>2.8000000000000001E-2</v>
      </c>
      <c r="D161" s="167">
        <v>2.0000000000000001E-4</v>
      </c>
      <c r="E161" s="132">
        <v>2.8199999999999999E-2</v>
      </c>
      <c r="F161" s="165">
        <f t="shared" si="0"/>
        <v>2.8199999999999999E-2</v>
      </c>
    </row>
    <row r="162" spans="1:6" ht="15" customHeight="1">
      <c r="A162" s="190"/>
      <c r="B162" s="166" t="s">
        <v>110</v>
      </c>
      <c r="C162" s="193"/>
      <c r="D162" s="167">
        <v>5.0000000000000001E-4</v>
      </c>
      <c r="E162" s="132">
        <v>2.8500000000000001E-2</v>
      </c>
      <c r="F162" s="165">
        <f t="shared" si="0"/>
        <v>2.8500000000000001E-2</v>
      </c>
    </row>
    <row r="163" spans="1:6" ht="15" customHeight="1">
      <c r="A163" s="190"/>
      <c r="B163" s="166" t="s">
        <v>112</v>
      </c>
      <c r="C163" s="193"/>
      <c r="D163" s="167">
        <v>1.5E-3</v>
      </c>
      <c r="E163" s="132">
        <v>2.9500000000000002E-2</v>
      </c>
      <c r="F163" s="165">
        <f t="shared" si="0"/>
        <v>2.9500000000000002E-2</v>
      </c>
    </row>
    <row r="164" spans="1:6" ht="15" customHeight="1">
      <c r="A164" s="190"/>
      <c r="B164" s="166" t="s">
        <v>114</v>
      </c>
      <c r="C164" s="193"/>
      <c r="D164" s="167">
        <v>1.8E-3</v>
      </c>
      <c r="E164" s="132">
        <v>2.98E-2</v>
      </c>
      <c r="F164" s="165">
        <f t="shared" si="0"/>
        <v>2.98E-2</v>
      </c>
    </row>
    <row r="165" spans="1:6" ht="15" customHeight="1">
      <c r="A165" s="191"/>
      <c r="B165" s="166" t="s">
        <v>116</v>
      </c>
      <c r="C165" s="194"/>
      <c r="D165" s="167">
        <v>2.3999999999999998E-3</v>
      </c>
      <c r="E165" s="132">
        <v>3.04E-2</v>
      </c>
      <c r="F165" s="165">
        <f t="shared" si="0"/>
        <v>3.04E-2</v>
      </c>
    </row>
  </sheetData>
  <mergeCells count="18">
    <mergeCell ref="B142:D142"/>
    <mergeCell ref="B143:D143"/>
    <mergeCell ref="A156:A160"/>
    <mergeCell ref="C156:C160"/>
    <mergeCell ref="A161:A165"/>
    <mergeCell ref="C161:C165"/>
    <mergeCell ref="A146:A150"/>
    <mergeCell ref="C146:C150"/>
    <mergeCell ref="A151:A155"/>
    <mergeCell ref="C151:C155"/>
    <mergeCell ref="B127:D127"/>
    <mergeCell ref="B128:D128"/>
    <mergeCell ref="B55:C55"/>
    <mergeCell ref="B54:D54"/>
    <mergeCell ref="B113:D113"/>
    <mergeCell ref="B97:D97"/>
    <mergeCell ref="B98:D98"/>
    <mergeCell ref="B112:D112"/>
  </mergeCells>
  <phoneticPr fontId="9" type="noConversion"/>
  <pageMargins left="0.7" right="0.7" top="0.75" bottom="0.75" header="0.3" footer="0.3"/>
  <pageSetup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17"/>
  <sheetViews>
    <sheetView showGridLines="0" workbookViewId="0">
      <selection activeCell="D36" sqref="D36"/>
    </sheetView>
  </sheetViews>
  <sheetFormatPr defaultColWidth="10.77734375" defaultRowHeight="15" customHeight="1"/>
  <cols>
    <col min="1" max="1" width="85" style="1" bestFit="1" customWidth="1"/>
    <col min="2" max="2" width="38.44140625" style="1" customWidth="1"/>
    <col min="3" max="3" width="22.77734375" style="1" customWidth="1"/>
    <col min="4" max="4" width="32" style="1" bestFit="1" customWidth="1"/>
    <col min="5" max="256" width="10.77734375" style="1" customWidth="1"/>
    <col min="257" max="16384" width="10.77734375" style="1"/>
  </cols>
  <sheetData>
    <row r="1" spans="1:6" ht="15" customHeight="1">
      <c r="A1" s="101" t="s">
        <v>156</v>
      </c>
      <c r="B1" s="56" t="s">
        <v>44</v>
      </c>
      <c r="C1" s="38"/>
      <c r="D1" s="38"/>
      <c r="E1" s="38"/>
      <c r="F1" s="38"/>
    </row>
    <row r="2" spans="1:6" ht="55.5" customHeight="1">
      <c r="A2" s="101" t="s">
        <v>88</v>
      </c>
      <c r="B2" s="195" t="s">
        <v>2434</v>
      </c>
      <c r="C2" s="196"/>
      <c r="D2" s="54"/>
      <c r="E2" s="38"/>
      <c r="F2" s="38"/>
    </row>
    <row r="3" spans="1:6" ht="15" customHeight="1">
      <c r="A3" s="40"/>
      <c r="B3" s="40"/>
      <c r="C3" s="40"/>
      <c r="D3" s="38"/>
      <c r="E3" s="38"/>
      <c r="F3" s="38"/>
    </row>
    <row r="4" spans="1:6" ht="34.5" customHeight="1">
      <c r="A4" s="96" t="s">
        <v>157</v>
      </c>
      <c r="B4" s="98" t="s">
        <v>158</v>
      </c>
      <c r="C4" s="98" t="s">
        <v>159</v>
      </c>
      <c r="D4" s="39"/>
      <c r="E4" s="98" t="s">
        <v>160</v>
      </c>
      <c r="F4" s="98" t="s">
        <v>161</v>
      </c>
    </row>
    <row r="5" spans="1:6" ht="15" customHeight="1">
      <c r="A5" s="17" t="s">
        <v>162</v>
      </c>
      <c r="B5" s="10" t="s">
        <v>163</v>
      </c>
      <c r="C5" s="14">
        <v>10</v>
      </c>
      <c r="D5" s="116" t="s">
        <v>164</v>
      </c>
      <c r="E5" s="14">
        <f>C11+C20+C27+C32+C45+C48+C54+C61+C71</f>
        <v>72</v>
      </c>
      <c r="F5" s="14">
        <f>C8+C12+C25+C28+C35+C51+C55+C65+C68</f>
        <v>254</v>
      </c>
    </row>
    <row r="6" spans="1:6" ht="15" customHeight="1">
      <c r="A6" s="29"/>
      <c r="B6" s="9" t="s">
        <v>165</v>
      </c>
      <c r="C6" s="30">
        <v>20</v>
      </c>
      <c r="D6" s="39"/>
      <c r="E6" s="38"/>
      <c r="F6" s="38"/>
    </row>
    <row r="7" spans="1:6" ht="15" customHeight="1">
      <c r="A7" s="31"/>
      <c r="B7" s="9" t="s">
        <v>166</v>
      </c>
      <c r="C7" s="30">
        <v>30</v>
      </c>
      <c r="D7" s="39"/>
      <c r="E7" s="38"/>
      <c r="F7" s="38"/>
    </row>
    <row r="8" spans="1:6" ht="15" customHeight="1">
      <c r="A8" s="32"/>
      <c r="B8" s="9" t="s">
        <v>167</v>
      </c>
      <c r="C8" s="30">
        <v>45</v>
      </c>
      <c r="D8" s="39"/>
      <c r="E8" s="38"/>
      <c r="F8" s="38"/>
    </row>
    <row r="9" spans="1:6" ht="15" customHeight="1">
      <c r="A9" s="31"/>
      <c r="B9" s="10" t="s">
        <v>168</v>
      </c>
      <c r="C9" s="14">
        <v>40</v>
      </c>
      <c r="D9" s="39"/>
      <c r="E9" s="38"/>
      <c r="F9" s="38"/>
    </row>
    <row r="10" spans="1:6" ht="15" customHeight="1">
      <c r="A10" s="31"/>
      <c r="B10" s="9" t="s">
        <v>169</v>
      </c>
      <c r="C10" s="30">
        <v>30</v>
      </c>
      <c r="D10" s="39"/>
      <c r="E10" s="38"/>
      <c r="F10" s="38"/>
    </row>
    <row r="11" spans="1:6" ht="15" customHeight="1">
      <c r="A11" s="33"/>
      <c r="B11" s="10" t="s">
        <v>170</v>
      </c>
      <c r="C11" s="30">
        <v>10</v>
      </c>
      <c r="D11" s="39"/>
      <c r="E11" s="38"/>
      <c r="F11" s="38"/>
    </row>
    <row r="12" spans="1:6" ht="15" customHeight="1">
      <c r="A12" s="17" t="s">
        <v>171</v>
      </c>
      <c r="B12" s="10" t="s">
        <v>172</v>
      </c>
      <c r="C12" s="14">
        <v>35</v>
      </c>
      <c r="D12" s="116" t="s">
        <v>173</v>
      </c>
      <c r="E12" s="38"/>
      <c r="F12" s="38"/>
    </row>
    <row r="13" spans="1:6" ht="15" customHeight="1">
      <c r="A13" s="29"/>
      <c r="B13" s="10" t="s">
        <v>174</v>
      </c>
      <c r="C13" s="14">
        <v>30</v>
      </c>
      <c r="D13" s="39"/>
      <c r="E13" s="38"/>
      <c r="F13" s="38"/>
    </row>
    <row r="14" spans="1:6" ht="15" customHeight="1">
      <c r="A14" s="31"/>
      <c r="B14" s="10" t="s">
        <v>175</v>
      </c>
      <c r="C14" s="14">
        <v>25</v>
      </c>
      <c r="D14" s="39"/>
      <c r="E14" s="38"/>
      <c r="F14" s="38"/>
    </row>
    <row r="15" spans="1:6" ht="15" customHeight="1">
      <c r="A15" s="31"/>
      <c r="B15" s="10" t="s">
        <v>176</v>
      </c>
      <c r="C15" s="14">
        <v>23</v>
      </c>
      <c r="D15" s="39"/>
      <c r="E15" s="38"/>
      <c r="F15" s="38"/>
    </row>
    <row r="16" spans="1:6" ht="15" customHeight="1">
      <c r="A16" s="31"/>
      <c r="B16" s="10" t="s">
        <v>177</v>
      </c>
      <c r="C16" s="14">
        <v>20</v>
      </c>
      <c r="D16" s="39"/>
      <c r="E16" s="38"/>
      <c r="F16" s="38"/>
    </row>
    <row r="17" spans="1:6" ht="15" customHeight="1">
      <c r="A17" s="31"/>
      <c r="B17" s="10" t="s">
        <v>178</v>
      </c>
      <c r="C17" s="14">
        <v>15</v>
      </c>
      <c r="D17" s="39"/>
      <c r="E17" s="38"/>
      <c r="F17" s="38"/>
    </row>
    <row r="18" spans="1:6" ht="15" customHeight="1">
      <c r="A18" s="31"/>
      <c r="B18" s="10" t="s">
        <v>179</v>
      </c>
      <c r="C18" s="14">
        <v>10</v>
      </c>
      <c r="D18" s="39"/>
      <c r="E18" s="38"/>
      <c r="F18" s="38"/>
    </row>
    <row r="19" spans="1:6" ht="15" customHeight="1">
      <c r="A19" s="31"/>
      <c r="B19" s="9" t="s">
        <v>169</v>
      </c>
      <c r="C19" s="14">
        <v>23</v>
      </c>
      <c r="D19" s="39"/>
      <c r="E19" s="38"/>
      <c r="F19" s="38"/>
    </row>
    <row r="20" spans="1:6" ht="15" customHeight="1">
      <c r="A20" s="33"/>
      <c r="B20" s="10" t="s">
        <v>170</v>
      </c>
      <c r="C20" s="14">
        <v>10</v>
      </c>
      <c r="D20" s="39"/>
      <c r="E20" s="38"/>
      <c r="F20" s="38"/>
    </row>
    <row r="21" spans="1:6" ht="15" customHeight="1">
      <c r="A21" s="17" t="s">
        <v>180</v>
      </c>
      <c r="B21" s="10" t="s">
        <v>181</v>
      </c>
      <c r="C21" s="14">
        <v>10</v>
      </c>
      <c r="D21" s="116" t="s">
        <v>182</v>
      </c>
      <c r="E21" s="38"/>
      <c r="F21" s="38"/>
    </row>
    <row r="22" spans="1:6" ht="15" customHeight="1">
      <c r="A22" s="29"/>
      <c r="B22" s="10" t="s">
        <v>183</v>
      </c>
      <c r="C22" s="14">
        <v>18</v>
      </c>
      <c r="D22" s="39"/>
      <c r="E22" s="38"/>
      <c r="F22" s="38"/>
    </row>
    <row r="23" spans="1:6" ht="15" customHeight="1">
      <c r="A23" s="31"/>
      <c r="B23" s="10" t="s">
        <v>184</v>
      </c>
      <c r="C23" s="14">
        <v>23</v>
      </c>
      <c r="D23" s="39"/>
      <c r="E23" s="38"/>
      <c r="F23" s="38"/>
    </row>
    <row r="24" spans="1:6" ht="15" customHeight="1">
      <c r="A24" s="31"/>
      <c r="B24" s="10" t="s">
        <v>185</v>
      </c>
      <c r="C24" s="14">
        <v>25</v>
      </c>
      <c r="D24" s="39"/>
      <c r="E24" s="38"/>
      <c r="F24" s="38"/>
    </row>
    <row r="25" spans="1:6" ht="15" customHeight="1">
      <c r="A25" s="31"/>
      <c r="B25" s="10" t="s">
        <v>186</v>
      </c>
      <c r="C25" s="14">
        <v>30</v>
      </c>
      <c r="D25" s="39"/>
      <c r="E25" s="38"/>
      <c r="F25" s="38"/>
    </row>
    <row r="26" spans="1:6" ht="15" customHeight="1">
      <c r="A26" s="31"/>
      <c r="B26" s="9" t="s">
        <v>169</v>
      </c>
      <c r="C26" s="14">
        <v>23</v>
      </c>
      <c r="D26" s="39"/>
      <c r="E26" s="38"/>
      <c r="F26" s="38"/>
    </row>
    <row r="27" spans="1:6" ht="15" customHeight="1">
      <c r="A27" s="33"/>
      <c r="B27" s="10" t="s">
        <v>170</v>
      </c>
      <c r="C27" s="14">
        <v>10</v>
      </c>
      <c r="D27" s="39"/>
      <c r="E27" s="38"/>
      <c r="F27" s="38"/>
    </row>
    <row r="28" spans="1:6" ht="15" customHeight="1">
      <c r="A28" s="17" t="s">
        <v>187</v>
      </c>
      <c r="B28" s="10" t="s">
        <v>188</v>
      </c>
      <c r="C28" s="14">
        <v>28</v>
      </c>
      <c r="D28" s="116" t="s">
        <v>189</v>
      </c>
      <c r="E28" s="38"/>
      <c r="F28" s="38"/>
    </row>
    <row r="29" spans="1:6" ht="15" customHeight="1">
      <c r="A29" s="29"/>
      <c r="B29" s="10" t="s">
        <v>190</v>
      </c>
      <c r="C29" s="14">
        <v>20</v>
      </c>
      <c r="D29" s="39"/>
      <c r="E29" s="38"/>
      <c r="F29" s="38"/>
    </row>
    <row r="30" spans="1:6" ht="15" customHeight="1">
      <c r="A30" s="31"/>
      <c r="B30" s="10" t="s">
        <v>191</v>
      </c>
      <c r="C30" s="14">
        <v>18</v>
      </c>
      <c r="D30" s="39"/>
      <c r="E30" s="38"/>
      <c r="F30" s="38"/>
    </row>
    <row r="31" spans="1:6" ht="15" customHeight="1">
      <c r="A31" s="31"/>
      <c r="B31" s="10" t="s">
        <v>192</v>
      </c>
      <c r="C31" s="14">
        <v>15</v>
      </c>
      <c r="D31" s="39"/>
      <c r="E31" s="38"/>
      <c r="F31" s="38"/>
    </row>
    <row r="32" spans="1:6" ht="15" customHeight="1">
      <c r="A32" s="31"/>
      <c r="B32" s="10" t="s">
        <v>193</v>
      </c>
      <c r="C32" s="14">
        <v>8</v>
      </c>
      <c r="D32" s="39"/>
      <c r="E32" s="38"/>
      <c r="F32" s="38"/>
    </row>
    <row r="33" spans="1:6" ht="15" customHeight="1">
      <c r="A33" s="31"/>
      <c r="B33" s="9" t="s">
        <v>169</v>
      </c>
      <c r="C33" s="14">
        <v>18</v>
      </c>
      <c r="D33" s="39"/>
      <c r="E33" s="38"/>
      <c r="F33" s="38"/>
    </row>
    <row r="34" spans="1:6" ht="15" customHeight="1">
      <c r="A34" s="33"/>
      <c r="B34" s="10" t="s">
        <v>170</v>
      </c>
      <c r="C34" s="14">
        <v>8</v>
      </c>
      <c r="D34" s="39"/>
      <c r="E34" s="38"/>
      <c r="F34" s="38"/>
    </row>
    <row r="35" spans="1:6" ht="15" customHeight="1">
      <c r="A35" s="17" t="s">
        <v>194</v>
      </c>
      <c r="B35" s="10" t="s">
        <v>195</v>
      </c>
      <c r="C35" s="14">
        <v>28</v>
      </c>
      <c r="D35" s="116" t="s">
        <v>196</v>
      </c>
      <c r="E35" s="38"/>
      <c r="F35" s="38"/>
    </row>
    <row r="36" spans="1:6" ht="15" customHeight="1">
      <c r="A36" s="29"/>
      <c r="B36" s="10" t="s">
        <v>197</v>
      </c>
      <c r="C36" s="14">
        <v>25</v>
      </c>
      <c r="D36" s="39"/>
      <c r="E36" s="38"/>
      <c r="F36" s="38"/>
    </row>
    <row r="37" spans="1:6" ht="15" customHeight="1">
      <c r="A37" s="31"/>
      <c r="B37" s="10" t="s">
        <v>198</v>
      </c>
      <c r="C37" s="14">
        <v>25</v>
      </c>
      <c r="D37" s="39"/>
      <c r="E37" s="38"/>
      <c r="F37" s="38"/>
    </row>
    <row r="38" spans="1:6" ht="15" customHeight="1">
      <c r="A38" s="31"/>
      <c r="B38" s="10" t="s">
        <v>199</v>
      </c>
      <c r="C38" s="14">
        <v>20</v>
      </c>
      <c r="D38" s="39"/>
      <c r="E38" s="38"/>
      <c r="F38" s="38"/>
    </row>
    <row r="39" spans="1:6" ht="15" customHeight="1">
      <c r="A39" s="31"/>
      <c r="B39" s="10" t="s">
        <v>200</v>
      </c>
      <c r="C39" s="14">
        <v>20</v>
      </c>
      <c r="D39" s="39"/>
      <c r="E39" s="38"/>
      <c r="F39" s="38"/>
    </row>
    <row r="40" spans="1:6" ht="15" customHeight="1">
      <c r="A40" s="31"/>
      <c r="B40" s="10" t="s">
        <v>201</v>
      </c>
      <c r="C40" s="14">
        <v>20</v>
      </c>
      <c r="D40" s="39"/>
      <c r="E40" s="38"/>
      <c r="F40" s="38"/>
    </row>
    <row r="41" spans="1:6" ht="15" customHeight="1">
      <c r="A41" s="31"/>
      <c r="B41" s="10" t="s">
        <v>202</v>
      </c>
      <c r="C41" s="14">
        <v>15</v>
      </c>
      <c r="D41" s="39"/>
      <c r="E41" s="38"/>
      <c r="F41" s="38"/>
    </row>
    <row r="42" spans="1:6" ht="15" customHeight="1">
      <c r="A42" s="31"/>
      <c r="B42" s="10" t="s">
        <v>203</v>
      </c>
      <c r="C42" s="14">
        <v>15</v>
      </c>
      <c r="D42" s="39"/>
      <c r="E42" s="38"/>
      <c r="F42" s="38"/>
    </row>
    <row r="43" spans="1:6" ht="15" customHeight="1">
      <c r="A43" s="31"/>
      <c r="B43" s="10" t="s">
        <v>204</v>
      </c>
      <c r="C43" s="14">
        <v>15</v>
      </c>
      <c r="D43" s="39"/>
      <c r="E43" s="38"/>
      <c r="F43" s="38"/>
    </row>
    <row r="44" spans="1:6" ht="15" customHeight="1">
      <c r="A44" s="31"/>
      <c r="B44" s="10" t="s">
        <v>205</v>
      </c>
      <c r="C44" s="14">
        <v>10</v>
      </c>
      <c r="D44" s="39"/>
      <c r="E44" s="38"/>
      <c r="F44" s="38"/>
    </row>
    <row r="45" spans="1:6" ht="15" customHeight="1">
      <c r="A45" s="31"/>
      <c r="B45" s="10" t="s">
        <v>206</v>
      </c>
      <c r="C45" s="14">
        <v>8</v>
      </c>
      <c r="D45" s="39"/>
      <c r="E45" s="38"/>
      <c r="F45" s="38"/>
    </row>
    <row r="46" spans="1:6" ht="15" customHeight="1">
      <c r="A46" s="31"/>
      <c r="B46" s="9" t="s">
        <v>169</v>
      </c>
      <c r="C46" s="14">
        <v>18</v>
      </c>
      <c r="D46" s="39"/>
      <c r="E46" s="38"/>
      <c r="F46" s="38"/>
    </row>
    <row r="47" spans="1:6" ht="15" customHeight="1">
      <c r="A47" s="33"/>
      <c r="B47" s="10" t="s">
        <v>170</v>
      </c>
      <c r="C47" s="14">
        <v>8</v>
      </c>
      <c r="D47" s="39"/>
      <c r="E47" s="38"/>
      <c r="F47" s="38"/>
    </row>
    <row r="48" spans="1:6" ht="15" customHeight="1">
      <c r="A48" s="17" t="s">
        <v>207</v>
      </c>
      <c r="B48" s="10" t="s">
        <v>208</v>
      </c>
      <c r="C48" s="14">
        <v>8</v>
      </c>
      <c r="D48" s="116" t="s">
        <v>209</v>
      </c>
      <c r="E48" s="38"/>
      <c r="F48" s="38"/>
    </row>
    <row r="49" spans="1:6" ht="15" customHeight="1">
      <c r="A49" s="29"/>
      <c r="B49" s="10" t="s">
        <v>210</v>
      </c>
      <c r="C49" s="14">
        <v>10</v>
      </c>
      <c r="D49" s="39"/>
      <c r="E49" s="38"/>
      <c r="F49" s="38"/>
    </row>
    <row r="50" spans="1:6" ht="15" customHeight="1">
      <c r="A50" s="31"/>
      <c r="B50" s="10" t="s">
        <v>211</v>
      </c>
      <c r="C50" s="14">
        <v>13</v>
      </c>
      <c r="D50" s="39"/>
      <c r="E50" s="38"/>
      <c r="F50" s="38"/>
    </row>
    <row r="51" spans="1:6" ht="15" customHeight="1">
      <c r="A51" s="31"/>
      <c r="B51" s="10" t="s">
        <v>212</v>
      </c>
      <c r="C51" s="14">
        <v>15</v>
      </c>
      <c r="D51" s="39"/>
      <c r="E51" s="38"/>
      <c r="F51" s="38"/>
    </row>
    <row r="52" spans="1:6" ht="15" customHeight="1">
      <c r="A52" s="31"/>
      <c r="B52" s="9" t="s">
        <v>169</v>
      </c>
      <c r="C52" s="14">
        <v>13</v>
      </c>
      <c r="D52" s="39"/>
      <c r="E52" s="38"/>
      <c r="F52" s="38"/>
    </row>
    <row r="53" spans="1:6" ht="15" customHeight="1">
      <c r="A53" s="33"/>
      <c r="B53" s="10" t="s">
        <v>170</v>
      </c>
      <c r="C53" s="14">
        <v>8</v>
      </c>
      <c r="D53" s="39"/>
      <c r="E53" s="38"/>
      <c r="F53" s="38"/>
    </row>
    <row r="54" spans="1:6" ht="15" customHeight="1">
      <c r="A54" s="53" t="s">
        <v>213</v>
      </c>
      <c r="B54" s="14">
        <v>0</v>
      </c>
      <c r="C54" s="14">
        <v>8</v>
      </c>
      <c r="D54" s="116" t="s">
        <v>214</v>
      </c>
      <c r="E54" s="38"/>
      <c r="F54" s="38"/>
    </row>
    <row r="55" spans="1:6" ht="15" customHeight="1">
      <c r="A55" s="29"/>
      <c r="B55" s="14">
        <v>1</v>
      </c>
      <c r="C55" s="14">
        <v>18</v>
      </c>
      <c r="D55" s="39"/>
      <c r="E55" s="38"/>
      <c r="F55" s="38"/>
    </row>
    <row r="56" spans="1:6" ht="15" customHeight="1">
      <c r="A56" s="31"/>
      <c r="B56" s="14">
        <v>2</v>
      </c>
      <c r="C56" s="14">
        <v>10</v>
      </c>
      <c r="D56" s="39"/>
      <c r="E56" s="38"/>
      <c r="F56" s="38"/>
    </row>
    <row r="57" spans="1:6" ht="15" customHeight="1">
      <c r="A57" s="31"/>
      <c r="B57" s="10" t="s">
        <v>215</v>
      </c>
      <c r="C57" s="14">
        <v>10</v>
      </c>
      <c r="D57" s="39"/>
      <c r="E57" s="38"/>
      <c r="F57" s="38"/>
    </row>
    <row r="58" spans="1:6" ht="15" customHeight="1">
      <c r="A58" s="31"/>
      <c r="B58" s="9" t="s">
        <v>169</v>
      </c>
      <c r="C58" s="14">
        <v>10</v>
      </c>
      <c r="D58" s="39"/>
      <c r="E58" s="38"/>
      <c r="F58" s="38"/>
    </row>
    <row r="59" spans="1:6" ht="15" customHeight="1">
      <c r="A59" s="35"/>
      <c r="B59" s="10" t="s">
        <v>170</v>
      </c>
      <c r="C59" s="14">
        <v>8</v>
      </c>
      <c r="D59" s="18"/>
      <c r="E59" s="5"/>
      <c r="F59" s="5"/>
    </row>
    <row r="60" spans="1:6" ht="15" customHeight="1">
      <c r="A60" s="17" t="s">
        <v>216</v>
      </c>
      <c r="B60" s="10" t="s">
        <v>217</v>
      </c>
      <c r="C60" s="14">
        <v>13</v>
      </c>
      <c r="D60" s="39"/>
      <c r="E60" s="38"/>
      <c r="F60" s="38"/>
    </row>
    <row r="61" spans="1:6" ht="15" customHeight="1">
      <c r="A61" s="29"/>
      <c r="B61" s="10" t="s">
        <v>218</v>
      </c>
      <c r="C61" s="14">
        <v>5</v>
      </c>
      <c r="D61" s="39"/>
      <c r="E61" s="38"/>
      <c r="F61" s="38"/>
    </row>
    <row r="62" spans="1:6" ht="15" customHeight="1">
      <c r="A62" s="31"/>
      <c r="B62" s="10" t="s">
        <v>219</v>
      </c>
      <c r="C62" s="14">
        <v>10</v>
      </c>
      <c r="D62" s="39"/>
      <c r="E62" s="38"/>
      <c r="F62" s="38"/>
    </row>
    <row r="63" spans="1:6" ht="15" customHeight="1">
      <c r="A63" s="31"/>
      <c r="B63" s="10" t="s">
        <v>220</v>
      </c>
      <c r="C63" s="14">
        <v>13</v>
      </c>
      <c r="D63" s="39"/>
      <c r="E63" s="38"/>
      <c r="F63" s="38"/>
    </row>
    <row r="64" spans="1:6" ht="15" customHeight="1">
      <c r="A64" s="31"/>
      <c r="B64" s="10" t="s">
        <v>221</v>
      </c>
      <c r="C64" s="14">
        <v>15</v>
      </c>
      <c r="D64" s="39"/>
      <c r="E64" s="38"/>
      <c r="F64" s="38"/>
    </row>
    <row r="65" spans="1:6" ht="15" customHeight="1">
      <c r="A65" s="31"/>
      <c r="B65" s="10" t="s">
        <v>222</v>
      </c>
      <c r="C65" s="14">
        <v>20</v>
      </c>
      <c r="D65" s="39"/>
      <c r="E65" s="38"/>
      <c r="F65" s="38"/>
    </row>
    <row r="66" spans="1:6" ht="15" customHeight="1">
      <c r="A66" s="31"/>
      <c r="B66" s="9" t="s">
        <v>169</v>
      </c>
      <c r="C66" s="14">
        <v>13</v>
      </c>
      <c r="D66" s="39"/>
      <c r="E66" s="38"/>
      <c r="F66" s="38"/>
    </row>
    <row r="67" spans="1:6" ht="15" customHeight="1">
      <c r="A67" s="33"/>
      <c r="B67" s="10" t="s">
        <v>170</v>
      </c>
      <c r="C67" s="14">
        <v>5</v>
      </c>
      <c r="D67" s="39"/>
      <c r="E67" s="38"/>
      <c r="F67" s="38"/>
    </row>
    <row r="68" spans="1:6" ht="15" customHeight="1">
      <c r="A68" s="53" t="s">
        <v>223</v>
      </c>
      <c r="B68" s="14">
        <v>0</v>
      </c>
      <c r="C68" s="14">
        <v>35</v>
      </c>
      <c r="D68" s="131" t="s">
        <v>224</v>
      </c>
      <c r="E68" s="38"/>
      <c r="F68" s="38"/>
    </row>
    <row r="69" spans="1:6" ht="15" customHeight="1">
      <c r="A69" s="29"/>
      <c r="B69" s="9" t="s">
        <v>225</v>
      </c>
      <c r="C69" s="30">
        <v>28</v>
      </c>
      <c r="D69" s="39"/>
      <c r="E69" s="38"/>
      <c r="F69" s="38"/>
    </row>
    <row r="70" spans="1:6" ht="15" customHeight="1">
      <c r="A70" s="31"/>
      <c r="B70" s="9" t="s">
        <v>226</v>
      </c>
      <c r="C70" s="30">
        <v>15</v>
      </c>
      <c r="D70" s="39"/>
      <c r="E70" s="38"/>
      <c r="F70" s="38"/>
    </row>
    <row r="71" spans="1:6" ht="15" customHeight="1">
      <c r="A71" s="32"/>
      <c r="B71" s="9" t="s">
        <v>227</v>
      </c>
      <c r="C71" s="30">
        <v>5</v>
      </c>
      <c r="D71" s="39"/>
      <c r="E71" s="38"/>
      <c r="F71" s="38"/>
    </row>
    <row r="72" spans="1:6" ht="15" customHeight="1">
      <c r="A72" s="31"/>
      <c r="B72" s="10" t="s">
        <v>228</v>
      </c>
      <c r="C72" s="14">
        <v>25</v>
      </c>
      <c r="D72" s="39"/>
      <c r="E72" s="38"/>
      <c r="F72" s="38"/>
    </row>
    <row r="73" spans="1:6" ht="15" customHeight="1">
      <c r="A73" s="31"/>
      <c r="B73" s="9" t="s">
        <v>169</v>
      </c>
      <c r="C73" s="30">
        <v>20</v>
      </c>
      <c r="D73" s="39"/>
      <c r="E73" s="38"/>
      <c r="F73" s="38"/>
    </row>
    <row r="74" spans="1:6" ht="15" customHeight="1">
      <c r="A74" s="33"/>
      <c r="B74" s="10" t="s">
        <v>170</v>
      </c>
      <c r="C74" s="30">
        <v>5</v>
      </c>
      <c r="D74" s="39"/>
      <c r="E74" s="38"/>
      <c r="F74" s="38"/>
    </row>
    <row r="76" spans="1:6" ht="15" customHeight="1">
      <c r="A76" s="101" t="s">
        <v>156</v>
      </c>
      <c r="B76" s="57" t="s">
        <v>46</v>
      </c>
      <c r="C76" s="38"/>
    </row>
    <row r="77" spans="1:6" ht="15" customHeight="1">
      <c r="A77" s="101" t="s">
        <v>88</v>
      </c>
      <c r="B77" s="195" t="s">
        <v>229</v>
      </c>
      <c r="C77" s="196"/>
    </row>
    <row r="78" spans="1:6" ht="15" customHeight="1">
      <c r="A78" s="40"/>
      <c r="B78" s="40"/>
      <c r="C78" s="40"/>
    </row>
    <row r="79" spans="1:6" ht="27.6">
      <c r="A79" s="96" t="s">
        <v>157</v>
      </c>
      <c r="B79" s="98" t="s">
        <v>158</v>
      </c>
      <c r="C79" s="98" t="s">
        <v>159</v>
      </c>
      <c r="E79" s="98" t="s">
        <v>160</v>
      </c>
      <c r="F79" s="98" t="s">
        <v>161</v>
      </c>
    </row>
    <row r="80" spans="1:6" ht="15" customHeight="1">
      <c r="A80" s="17" t="s">
        <v>230</v>
      </c>
      <c r="B80" s="58" t="s">
        <v>231</v>
      </c>
      <c r="C80" s="14">
        <v>5</v>
      </c>
      <c r="D80" s="39"/>
      <c r="E80" s="14">
        <f>C80+C88+C92+C96+C97+C105+C109+C113+C114</f>
        <v>65</v>
      </c>
      <c r="F80" s="14">
        <f>C83+C84+C89+C93+C100+C101+C106+C110+C117</f>
        <v>380</v>
      </c>
    </row>
    <row r="81" spans="1:3" ht="15" customHeight="1">
      <c r="A81" s="34"/>
      <c r="B81" s="58" t="s">
        <v>232</v>
      </c>
      <c r="C81" s="14">
        <v>20</v>
      </c>
    </row>
    <row r="82" spans="1:3" ht="15" customHeight="1">
      <c r="A82" s="31"/>
      <c r="B82" s="58" t="s">
        <v>233</v>
      </c>
      <c r="C82" s="14">
        <v>40</v>
      </c>
    </row>
    <row r="83" spans="1:3" ht="15" customHeight="1">
      <c r="A83" s="31"/>
      <c r="B83" s="58" t="s">
        <v>234</v>
      </c>
      <c r="C83" s="14">
        <v>50</v>
      </c>
    </row>
    <row r="84" spans="1:3" ht="15" customHeight="1">
      <c r="A84" s="53" t="s">
        <v>235</v>
      </c>
      <c r="B84" s="58" t="s">
        <v>236</v>
      </c>
      <c r="C84" s="14">
        <v>50</v>
      </c>
    </row>
    <row r="85" spans="1:3" ht="15" customHeight="1">
      <c r="A85" s="29"/>
      <c r="B85" s="41" t="s">
        <v>237</v>
      </c>
      <c r="C85" s="30">
        <v>40</v>
      </c>
    </row>
    <row r="86" spans="1:3" ht="15" customHeight="1">
      <c r="A86" s="31"/>
      <c r="B86" s="41" t="s">
        <v>238</v>
      </c>
      <c r="C86" s="30">
        <v>30</v>
      </c>
    </row>
    <row r="87" spans="1:3" ht="15" customHeight="1">
      <c r="A87" s="32"/>
      <c r="B87" s="41" t="s">
        <v>133</v>
      </c>
      <c r="C87" s="30">
        <v>15</v>
      </c>
    </row>
    <row r="88" spans="1:3" ht="15" customHeight="1">
      <c r="A88" s="31"/>
      <c r="B88" s="58" t="s">
        <v>239</v>
      </c>
      <c r="C88" s="14">
        <v>10</v>
      </c>
    </row>
    <row r="89" spans="1:3" ht="15" customHeight="1">
      <c r="A89" s="53" t="s">
        <v>240</v>
      </c>
      <c r="B89" s="58" t="s">
        <v>241</v>
      </c>
      <c r="C89" s="14">
        <v>40</v>
      </c>
    </row>
    <row r="90" spans="1:3" ht="15" customHeight="1">
      <c r="A90" s="29"/>
      <c r="B90" s="41" t="s">
        <v>242</v>
      </c>
      <c r="C90" s="30">
        <v>30</v>
      </c>
    </row>
    <row r="91" spans="1:3" ht="15" customHeight="1">
      <c r="A91" s="31"/>
      <c r="B91" s="41" t="s">
        <v>243</v>
      </c>
      <c r="C91" s="30">
        <v>20</v>
      </c>
    </row>
    <row r="92" spans="1:3" ht="15" customHeight="1">
      <c r="A92" s="32"/>
      <c r="B92" s="41" t="s">
        <v>244</v>
      </c>
      <c r="C92" s="30">
        <v>10</v>
      </c>
    </row>
    <row r="93" spans="1:3" ht="15" customHeight="1">
      <c r="A93" s="53" t="s">
        <v>245</v>
      </c>
      <c r="B93" s="58" t="s">
        <v>241</v>
      </c>
      <c r="C93" s="14">
        <v>30</v>
      </c>
    </row>
    <row r="94" spans="1:3" ht="15" customHeight="1">
      <c r="A94" s="29"/>
      <c r="B94" s="41" t="s">
        <v>242</v>
      </c>
      <c r="C94" s="30">
        <v>15</v>
      </c>
    </row>
    <row r="95" spans="1:3" ht="15" customHeight="1">
      <c r="A95" s="31"/>
      <c r="B95" s="41" t="s">
        <v>243</v>
      </c>
      <c r="C95" s="30">
        <v>10</v>
      </c>
    </row>
    <row r="96" spans="1:3" ht="15" customHeight="1">
      <c r="A96" s="32"/>
      <c r="B96" s="41" t="s">
        <v>244</v>
      </c>
      <c r="C96" s="30">
        <v>5</v>
      </c>
    </row>
    <row r="97" spans="1:3" ht="15" customHeight="1">
      <c r="A97" s="53" t="s">
        <v>246</v>
      </c>
      <c r="B97" s="58" t="s">
        <v>241</v>
      </c>
      <c r="C97" s="14">
        <v>5</v>
      </c>
    </row>
    <row r="98" spans="1:3" ht="15" customHeight="1">
      <c r="A98" s="29"/>
      <c r="B98" s="41" t="s">
        <v>242</v>
      </c>
      <c r="C98" s="30">
        <v>15</v>
      </c>
    </row>
    <row r="99" spans="1:3" ht="15" customHeight="1">
      <c r="A99" s="31"/>
      <c r="B99" s="41" t="s">
        <v>243</v>
      </c>
      <c r="C99" s="30">
        <v>30</v>
      </c>
    </row>
    <row r="100" spans="1:3" ht="15" customHeight="1">
      <c r="A100" s="32"/>
      <c r="B100" s="41" t="s">
        <v>244</v>
      </c>
      <c r="C100" s="30">
        <v>45</v>
      </c>
    </row>
    <row r="101" spans="1:3" ht="15" customHeight="1">
      <c r="A101" s="53" t="s">
        <v>247</v>
      </c>
      <c r="B101" s="58" t="s">
        <v>236</v>
      </c>
      <c r="C101" s="14">
        <v>50</v>
      </c>
    </row>
    <row r="102" spans="1:3" ht="15" customHeight="1">
      <c r="A102" s="29"/>
      <c r="B102" s="41" t="s">
        <v>237</v>
      </c>
      <c r="C102" s="30">
        <v>40</v>
      </c>
    </row>
    <row r="103" spans="1:3" ht="15" customHeight="1">
      <c r="A103" s="31"/>
      <c r="B103" s="41" t="s">
        <v>238</v>
      </c>
      <c r="C103" s="30">
        <v>30</v>
      </c>
    </row>
    <row r="104" spans="1:3" ht="15" customHeight="1">
      <c r="A104" s="32"/>
      <c r="B104" s="41" t="s">
        <v>133</v>
      </c>
      <c r="C104" s="30">
        <v>15</v>
      </c>
    </row>
    <row r="105" spans="1:3" ht="15" customHeight="1">
      <c r="A105" s="31"/>
      <c r="B105" s="58" t="s">
        <v>239</v>
      </c>
      <c r="C105" s="14">
        <v>10</v>
      </c>
    </row>
    <row r="106" spans="1:3" ht="15" customHeight="1">
      <c r="A106" s="53" t="s">
        <v>248</v>
      </c>
      <c r="B106" s="58" t="s">
        <v>241</v>
      </c>
      <c r="C106" s="14">
        <v>40</v>
      </c>
    </row>
    <row r="107" spans="1:3" ht="15" customHeight="1">
      <c r="A107" s="29"/>
      <c r="B107" s="41" t="s">
        <v>242</v>
      </c>
      <c r="C107" s="30">
        <v>30</v>
      </c>
    </row>
    <row r="108" spans="1:3" ht="15" customHeight="1">
      <c r="A108" s="31"/>
      <c r="B108" s="41" t="s">
        <v>243</v>
      </c>
      <c r="C108" s="30">
        <v>20</v>
      </c>
    </row>
    <row r="109" spans="1:3" ht="15" customHeight="1">
      <c r="A109" s="32"/>
      <c r="B109" s="41" t="s">
        <v>244</v>
      </c>
      <c r="C109" s="30">
        <v>10</v>
      </c>
    </row>
    <row r="110" spans="1:3" ht="15" customHeight="1">
      <c r="A110" s="53" t="s">
        <v>249</v>
      </c>
      <c r="B110" s="58" t="s">
        <v>241</v>
      </c>
      <c r="C110" s="14">
        <v>30</v>
      </c>
    </row>
    <row r="111" spans="1:3" ht="15" customHeight="1">
      <c r="A111" s="29"/>
      <c r="B111" s="41" t="s">
        <v>242</v>
      </c>
      <c r="C111" s="30">
        <v>15</v>
      </c>
    </row>
    <row r="112" spans="1:3" ht="15" customHeight="1">
      <c r="A112" s="31"/>
      <c r="B112" s="41" t="s">
        <v>243</v>
      </c>
      <c r="C112" s="30">
        <v>10</v>
      </c>
    </row>
    <row r="113" spans="1:3" ht="15" customHeight="1">
      <c r="A113" s="32"/>
      <c r="B113" s="41" t="s">
        <v>244</v>
      </c>
      <c r="C113" s="30">
        <v>5</v>
      </c>
    </row>
    <row r="114" spans="1:3" ht="15" customHeight="1">
      <c r="A114" s="53" t="s">
        <v>250</v>
      </c>
      <c r="B114" s="58" t="s">
        <v>241</v>
      </c>
      <c r="C114" s="14">
        <v>5</v>
      </c>
    </row>
    <row r="115" spans="1:3" ht="15" customHeight="1">
      <c r="A115" s="29"/>
      <c r="B115" s="41" t="s">
        <v>242</v>
      </c>
      <c r="C115" s="30">
        <v>15</v>
      </c>
    </row>
    <row r="116" spans="1:3" ht="15" customHeight="1">
      <c r="A116" s="31"/>
      <c r="B116" s="41" t="s">
        <v>243</v>
      </c>
      <c r="C116" s="30">
        <v>30</v>
      </c>
    </row>
    <row r="117" spans="1:3" ht="15" customHeight="1">
      <c r="A117" s="32"/>
      <c r="B117" s="41" t="s">
        <v>244</v>
      </c>
      <c r="C117" s="30">
        <v>45</v>
      </c>
    </row>
  </sheetData>
  <mergeCells count="2">
    <mergeCell ref="B2:C2"/>
    <mergeCell ref="B77:C77"/>
  </mergeCells>
  <pageMargins left="0.7" right="0.7" top="0.75" bottom="0.75" header="0.3" footer="0.3"/>
  <pageSetup orientation="portrait" r:id="rId1"/>
  <headerFooter>
    <oddFooter>&amp;C&amp;"Helvetica Neue,Regular"&amp;12&amp;K000000&amp;P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E188C-C9E9-4DB5-9E19-56976D7167ED}">
  <sheetPr>
    <tabColor rgb="FF7030A0"/>
  </sheetPr>
  <dimension ref="A1:F69"/>
  <sheetViews>
    <sheetView workbookViewId="0">
      <selection activeCell="K24" sqref="K24"/>
    </sheetView>
  </sheetViews>
  <sheetFormatPr defaultRowHeight="14.4"/>
  <cols>
    <col min="1" max="1" width="25.5546875" customWidth="1"/>
    <col min="2" max="2" width="13.5546875" customWidth="1"/>
    <col min="6" max="6" width="12.5546875" bestFit="1" customWidth="1"/>
  </cols>
  <sheetData>
    <row r="1" spans="1:2">
      <c r="A1" s="101" t="s">
        <v>156</v>
      </c>
      <c r="B1" s="133" t="s">
        <v>44</v>
      </c>
    </row>
    <row r="2" spans="1:2">
      <c r="A2" s="101" t="s">
        <v>88</v>
      </c>
      <c r="B2" s="134" t="s">
        <v>251</v>
      </c>
    </row>
    <row r="4" spans="1:2">
      <c r="A4" t="s">
        <v>252</v>
      </c>
    </row>
    <row r="5" spans="1:2">
      <c r="A5" t="s">
        <v>196</v>
      </c>
    </row>
    <row r="6" spans="1:2">
      <c r="A6" t="s">
        <v>253</v>
      </c>
    </row>
    <row r="7" spans="1:2">
      <c r="A7" t="s">
        <v>254</v>
      </c>
    </row>
    <row r="10" spans="1:2">
      <c r="A10" s="101" t="s">
        <v>156</v>
      </c>
      <c r="B10" s="133" t="s">
        <v>255</v>
      </c>
    </row>
    <row r="11" spans="1:2">
      <c r="A11" s="101" t="s">
        <v>88</v>
      </c>
      <c r="B11" s="134" t="s">
        <v>256</v>
      </c>
    </row>
    <row r="14" spans="1:2">
      <c r="A14" t="s">
        <v>257</v>
      </c>
    </row>
    <row r="15" spans="1:2">
      <c r="A15" t="s">
        <v>252</v>
      </c>
    </row>
    <row r="16" spans="1:2">
      <c r="A16" t="s">
        <v>164</v>
      </c>
    </row>
    <row r="17" spans="1:6">
      <c r="A17" t="s">
        <v>196</v>
      </c>
    </row>
    <row r="18" spans="1:6">
      <c r="A18" t="s">
        <v>258</v>
      </c>
    </row>
    <row r="19" spans="1:6">
      <c r="A19" t="s">
        <v>259</v>
      </c>
    </row>
    <row r="20" spans="1:6">
      <c r="A20" t="s">
        <v>253</v>
      </c>
    </row>
    <row r="21" spans="1:6">
      <c r="A21" t="s">
        <v>260</v>
      </c>
    </row>
    <row r="22" spans="1:6">
      <c r="A22" t="s">
        <v>261</v>
      </c>
    </row>
    <row r="23" spans="1:6">
      <c r="A23" t="s">
        <v>262</v>
      </c>
    </row>
    <row r="24" spans="1:6">
      <c r="A24" t="s">
        <v>263</v>
      </c>
    </row>
    <row r="25" spans="1:6">
      <c r="A25" t="s">
        <v>264</v>
      </c>
    </row>
    <row r="26" spans="1:6">
      <c r="A26" t="s">
        <v>265</v>
      </c>
    </row>
    <row r="27" spans="1:6">
      <c r="A27" t="s">
        <v>266</v>
      </c>
    </row>
    <row r="28" spans="1:6">
      <c r="A28" t="s">
        <v>182</v>
      </c>
    </row>
    <row r="29" spans="1:6">
      <c r="A29" t="s">
        <v>267</v>
      </c>
    </row>
    <row r="31" spans="1:6">
      <c r="A31" s="138" t="s">
        <v>101</v>
      </c>
      <c r="B31" s="139" t="s">
        <v>102</v>
      </c>
      <c r="C31" s="139" t="s">
        <v>103</v>
      </c>
      <c r="D31" s="139" t="s">
        <v>104</v>
      </c>
      <c r="E31" s="139" t="s">
        <v>105</v>
      </c>
      <c r="F31" s="140" t="s">
        <v>106</v>
      </c>
    </row>
    <row r="32" spans="1:6">
      <c r="A32" s="141" t="s">
        <v>107</v>
      </c>
      <c r="B32" s="142" t="s">
        <v>268</v>
      </c>
      <c r="C32" s="143" t="s">
        <v>269</v>
      </c>
      <c r="D32" s="142" t="s">
        <v>269</v>
      </c>
      <c r="E32" s="144" t="s">
        <v>108</v>
      </c>
      <c r="F32" s="145" t="s">
        <v>109</v>
      </c>
    </row>
    <row r="33" spans="1:6">
      <c r="A33" s="141" t="s">
        <v>107</v>
      </c>
      <c r="B33" s="142" t="s">
        <v>270</v>
      </c>
      <c r="C33" s="143" t="s">
        <v>269</v>
      </c>
      <c r="D33" s="142" t="s">
        <v>269</v>
      </c>
      <c r="E33" s="143" t="s">
        <v>110</v>
      </c>
      <c r="F33" s="146" t="s">
        <v>111</v>
      </c>
    </row>
    <row r="34" spans="1:6">
      <c r="A34" s="141" t="s">
        <v>107</v>
      </c>
      <c r="B34" s="142" t="s">
        <v>271</v>
      </c>
      <c r="C34" s="143" t="s">
        <v>269</v>
      </c>
      <c r="D34" s="142" t="s">
        <v>272</v>
      </c>
      <c r="E34" s="143" t="s">
        <v>110</v>
      </c>
      <c r="F34" s="146" t="s">
        <v>111</v>
      </c>
    </row>
    <row r="35" spans="1:6">
      <c r="A35" s="141" t="s">
        <v>107</v>
      </c>
      <c r="B35" s="142" t="s">
        <v>271</v>
      </c>
      <c r="C35" s="143" t="s">
        <v>269</v>
      </c>
      <c r="D35" s="142" t="s">
        <v>273</v>
      </c>
      <c r="E35" s="143" t="s">
        <v>110</v>
      </c>
      <c r="F35" s="146" t="s">
        <v>111</v>
      </c>
    </row>
    <row r="36" spans="1:6">
      <c r="A36" s="141" t="s">
        <v>107</v>
      </c>
      <c r="B36" s="142" t="s">
        <v>271</v>
      </c>
      <c r="C36" s="143" t="s">
        <v>269</v>
      </c>
      <c r="D36" s="142" t="s">
        <v>274</v>
      </c>
      <c r="E36" s="143" t="s">
        <v>112</v>
      </c>
      <c r="F36" s="146" t="s">
        <v>113</v>
      </c>
    </row>
    <row r="37" spans="1:6">
      <c r="A37" s="141" t="s">
        <v>107</v>
      </c>
      <c r="B37" s="142" t="s">
        <v>271</v>
      </c>
      <c r="C37" s="143" t="s">
        <v>269</v>
      </c>
      <c r="D37" s="142" t="s">
        <v>275</v>
      </c>
      <c r="E37" s="143" t="s">
        <v>112</v>
      </c>
      <c r="F37" s="146" t="s">
        <v>113</v>
      </c>
    </row>
    <row r="38" spans="1:6">
      <c r="A38" s="141" t="s">
        <v>107</v>
      </c>
      <c r="B38" s="142" t="s">
        <v>271</v>
      </c>
      <c r="C38" s="143" t="s">
        <v>269</v>
      </c>
      <c r="D38" s="142" t="s">
        <v>276</v>
      </c>
      <c r="E38" s="143" t="s">
        <v>114</v>
      </c>
      <c r="F38" s="146" t="s">
        <v>115</v>
      </c>
    </row>
    <row r="39" spans="1:6">
      <c r="A39" s="141" t="s">
        <v>107</v>
      </c>
      <c r="B39" s="142" t="s">
        <v>277</v>
      </c>
      <c r="C39" s="143" t="s">
        <v>269</v>
      </c>
      <c r="D39" s="142" t="s">
        <v>272</v>
      </c>
      <c r="E39" s="143" t="s">
        <v>110</v>
      </c>
      <c r="F39" s="146" t="s">
        <v>111</v>
      </c>
    </row>
    <row r="40" spans="1:6">
      <c r="A40" s="141" t="s">
        <v>107</v>
      </c>
      <c r="B40" s="142" t="s">
        <v>277</v>
      </c>
      <c r="C40" s="143" t="s">
        <v>269</v>
      </c>
      <c r="D40" s="142" t="s">
        <v>273</v>
      </c>
      <c r="E40" s="143" t="s">
        <v>112</v>
      </c>
      <c r="F40" s="146" t="s">
        <v>113</v>
      </c>
    </row>
    <row r="41" spans="1:6">
      <c r="A41" s="141" t="s">
        <v>107</v>
      </c>
      <c r="B41" s="142" t="s">
        <v>277</v>
      </c>
      <c r="C41" s="143" t="s">
        <v>269</v>
      </c>
      <c r="D41" s="142" t="s">
        <v>274</v>
      </c>
      <c r="E41" s="143" t="s">
        <v>112</v>
      </c>
      <c r="F41" s="146" t="s">
        <v>113</v>
      </c>
    </row>
    <row r="42" spans="1:6">
      <c r="A42" s="141" t="s">
        <v>107</v>
      </c>
      <c r="B42" s="142" t="s">
        <v>277</v>
      </c>
      <c r="C42" s="143" t="s">
        <v>269</v>
      </c>
      <c r="D42" s="142" t="s">
        <v>275</v>
      </c>
      <c r="E42" s="143" t="s">
        <v>114</v>
      </c>
      <c r="F42" s="146" t="s">
        <v>115</v>
      </c>
    </row>
    <row r="43" spans="1:6">
      <c r="A43" s="141" t="s">
        <v>107</v>
      </c>
      <c r="B43" s="142" t="s">
        <v>277</v>
      </c>
      <c r="C43" s="143" t="s">
        <v>269</v>
      </c>
      <c r="D43" s="142" t="s">
        <v>276</v>
      </c>
      <c r="E43" s="143" t="s">
        <v>116</v>
      </c>
      <c r="F43" s="146" t="s">
        <v>117</v>
      </c>
    </row>
    <row r="44" spans="1:6">
      <c r="A44" s="141" t="s">
        <v>107</v>
      </c>
      <c r="B44" s="142" t="s">
        <v>278</v>
      </c>
      <c r="C44" s="143" t="s">
        <v>269</v>
      </c>
      <c r="D44" s="142" t="s">
        <v>272</v>
      </c>
      <c r="E44" s="143" t="s">
        <v>112</v>
      </c>
      <c r="F44" s="146" t="s">
        <v>113</v>
      </c>
    </row>
    <row r="45" spans="1:6">
      <c r="A45" s="141" t="s">
        <v>107</v>
      </c>
      <c r="B45" s="142" t="s">
        <v>278</v>
      </c>
      <c r="C45" s="143" t="s">
        <v>269</v>
      </c>
      <c r="D45" s="142" t="s">
        <v>273</v>
      </c>
      <c r="E45" s="143" t="s">
        <v>114</v>
      </c>
      <c r="F45" s="146" t="s">
        <v>115</v>
      </c>
    </row>
    <row r="46" spans="1:6">
      <c r="A46" s="141" t="s">
        <v>107</v>
      </c>
      <c r="B46" s="142" t="s">
        <v>278</v>
      </c>
      <c r="C46" s="143" t="s">
        <v>269</v>
      </c>
      <c r="D46" s="142" t="s">
        <v>274</v>
      </c>
      <c r="E46" s="143" t="s">
        <v>114</v>
      </c>
      <c r="F46" s="146" t="s">
        <v>115</v>
      </c>
    </row>
    <row r="47" spans="1:6">
      <c r="A47" s="141" t="s">
        <v>107</v>
      </c>
      <c r="B47" s="142" t="s">
        <v>278</v>
      </c>
      <c r="C47" s="143" t="s">
        <v>269</v>
      </c>
      <c r="D47" s="142" t="s">
        <v>275</v>
      </c>
      <c r="E47" s="143" t="s">
        <v>116</v>
      </c>
      <c r="F47" s="146" t="s">
        <v>117</v>
      </c>
    </row>
    <row r="48" spans="1:6">
      <c r="A48" s="141" t="s">
        <v>107</v>
      </c>
      <c r="B48" s="142" t="s">
        <v>278</v>
      </c>
      <c r="C48" s="143" t="s">
        <v>269</v>
      </c>
      <c r="D48" s="142" t="s">
        <v>276</v>
      </c>
      <c r="E48" s="143" t="s">
        <v>116</v>
      </c>
      <c r="F48" s="146" t="s">
        <v>117</v>
      </c>
    </row>
    <row r="49" spans="1:6">
      <c r="A49" s="141" t="s">
        <v>118</v>
      </c>
      <c r="B49" s="142" t="s">
        <v>269</v>
      </c>
      <c r="C49" s="142" t="s">
        <v>279</v>
      </c>
      <c r="D49" s="142" t="s">
        <v>272</v>
      </c>
      <c r="E49" s="144" t="s">
        <v>108</v>
      </c>
      <c r="F49" s="145" t="s">
        <v>109</v>
      </c>
    </row>
    <row r="50" spans="1:6">
      <c r="A50" s="141" t="s">
        <v>118</v>
      </c>
      <c r="B50" s="142" t="s">
        <v>269</v>
      </c>
      <c r="C50" s="142" t="s">
        <v>279</v>
      </c>
      <c r="D50" s="142" t="s">
        <v>273</v>
      </c>
      <c r="E50" s="144" t="s">
        <v>108</v>
      </c>
      <c r="F50" s="145" t="s">
        <v>109</v>
      </c>
    </row>
    <row r="51" spans="1:6">
      <c r="A51" s="141" t="s">
        <v>118</v>
      </c>
      <c r="B51" s="142" t="s">
        <v>269</v>
      </c>
      <c r="C51" s="142" t="s">
        <v>279</v>
      </c>
      <c r="D51" s="142" t="s">
        <v>274</v>
      </c>
      <c r="E51" s="144" t="s">
        <v>110</v>
      </c>
      <c r="F51" s="145" t="s">
        <v>109</v>
      </c>
    </row>
    <row r="52" spans="1:6">
      <c r="A52" s="141" t="s">
        <v>118</v>
      </c>
      <c r="B52" s="142" t="s">
        <v>269</v>
      </c>
      <c r="C52" s="142" t="s">
        <v>279</v>
      </c>
      <c r="D52" s="142" t="s">
        <v>275</v>
      </c>
      <c r="E52" s="144" t="s">
        <v>110</v>
      </c>
      <c r="F52" s="145" t="s">
        <v>109</v>
      </c>
    </row>
    <row r="53" spans="1:6">
      <c r="A53" s="141" t="s">
        <v>118</v>
      </c>
      <c r="B53" s="142" t="s">
        <v>269</v>
      </c>
      <c r="C53" s="142" t="s">
        <v>279</v>
      </c>
      <c r="D53" s="142" t="s">
        <v>276</v>
      </c>
      <c r="E53" s="144" t="s">
        <v>112</v>
      </c>
      <c r="F53" s="146" t="s">
        <v>111</v>
      </c>
    </row>
    <row r="54" spans="1:6">
      <c r="A54" s="141" t="s">
        <v>118</v>
      </c>
      <c r="B54" s="142" t="s">
        <v>269</v>
      </c>
      <c r="C54" s="142" t="s">
        <v>280</v>
      </c>
      <c r="D54" s="142" t="s">
        <v>272</v>
      </c>
      <c r="E54" s="143" t="s">
        <v>110</v>
      </c>
      <c r="F54" s="146" t="s">
        <v>111</v>
      </c>
    </row>
    <row r="55" spans="1:6">
      <c r="A55" s="141" t="s">
        <v>118</v>
      </c>
      <c r="B55" s="142" t="s">
        <v>269</v>
      </c>
      <c r="C55" s="142" t="s">
        <v>280</v>
      </c>
      <c r="D55" s="142" t="s">
        <v>273</v>
      </c>
      <c r="E55" s="143" t="s">
        <v>110</v>
      </c>
      <c r="F55" s="146" t="s">
        <v>111</v>
      </c>
    </row>
    <row r="56" spans="1:6">
      <c r="A56" s="141" t="s">
        <v>118</v>
      </c>
      <c r="B56" s="142" t="s">
        <v>269</v>
      </c>
      <c r="C56" s="142" t="s">
        <v>280</v>
      </c>
      <c r="D56" s="142" t="s">
        <v>274</v>
      </c>
      <c r="E56" s="143" t="s">
        <v>112</v>
      </c>
      <c r="F56" s="146" t="s">
        <v>111</v>
      </c>
    </row>
    <row r="57" spans="1:6">
      <c r="A57" s="141" t="s">
        <v>118</v>
      </c>
      <c r="B57" s="142" t="s">
        <v>269</v>
      </c>
      <c r="C57" s="142" t="s">
        <v>280</v>
      </c>
      <c r="D57" s="142" t="s">
        <v>275</v>
      </c>
      <c r="E57" s="143" t="s">
        <v>112</v>
      </c>
      <c r="F57" s="146" t="s">
        <v>111</v>
      </c>
    </row>
    <row r="58" spans="1:6">
      <c r="A58" s="141" t="s">
        <v>118</v>
      </c>
      <c r="B58" s="142" t="s">
        <v>269</v>
      </c>
      <c r="C58" s="142" t="s">
        <v>280</v>
      </c>
      <c r="D58" s="142" t="s">
        <v>276</v>
      </c>
      <c r="E58" s="143" t="s">
        <v>114</v>
      </c>
      <c r="F58" s="146" t="s">
        <v>111</v>
      </c>
    </row>
    <row r="59" spans="1:6">
      <c r="A59" s="141" t="s">
        <v>118</v>
      </c>
      <c r="B59" s="142" t="s">
        <v>269</v>
      </c>
      <c r="C59" s="142" t="s">
        <v>281</v>
      </c>
      <c r="D59" s="142" t="s">
        <v>272</v>
      </c>
      <c r="E59" s="143" t="s">
        <v>110</v>
      </c>
      <c r="F59" s="146" t="s">
        <v>113</v>
      </c>
    </row>
    <row r="60" spans="1:6">
      <c r="A60" s="141" t="s">
        <v>118</v>
      </c>
      <c r="B60" s="142" t="s">
        <v>269</v>
      </c>
      <c r="C60" s="142" t="s">
        <v>281</v>
      </c>
      <c r="D60" s="142" t="s">
        <v>273</v>
      </c>
      <c r="E60" s="143" t="s">
        <v>112</v>
      </c>
      <c r="F60" s="146" t="s">
        <v>113</v>
      </c>
    </row>
    <row r="61" spans="1:6">
      <c r="A61" s="141" t="s">
        <v>118</v>
      </c>
      <c r="B61" s="142" t="s">
        <v>269</v>
      </c>
      <c r="C61" s="142" t="s">
        <v>281</v>
      </c>
      <c r="D61" s="142" t="s">
        <v>274</v>
      </c>
      <c r="E61" s="143" t="s">
        <v>112</v>
      </c>
      <c r="F61" s="146" t="s">
        <v>113</v>
      </c>
    </row>
    <row r="62" spans="1:6">
      <c r="A62" s="141" t="s">
        <v>118</v>
      </c>
      <c r="B62" s="142" t="s">
        <v>269</v>
      </c>
      <c r="C62" s="142" t="s">
        <v>281</v>
      </c>
      <c r="D62" s="142" t="s">
        <v>275</v>
      </c>
      <c r="E62" s="143" t="s">
        <v>114</v>
      </c>
      <c r="F62" s="146" t="s">
        <v>113</v>
      </c>
    </row>
    <row r="63" spans="1:6">
      <c r="A63" s="141" t="s">
        <v>118</v>
      </c>
      <c r="B63" s="142" t="s">
        <v>269</v>
      </c>
      <c r="C63" s="142" t="s">
        <v>281</v>
      </c>
      <c r="D63" s="142" t="s">
        <v>276</v>
      </c>
      <c r="E63" s="143" t="s">
        <v>114</v>
      </c>
      <c r="F63" s="146" t="s">
        <v>113</v>
      </c>
    </row>
    <row r="64" spans="1:6">
      <c r="A64" s="141" t="s">
        <v>118</v>
      </c>
      <c r="B64" s="142" t="s">
        <v>269</v>
      </c>
      <c r="C64" s="142" t="s">
        <v>282</v>
      </c>
      <c r="D64" s="142" t="s">
        <v>272</v>
      </c>
      <c r="E64" s="143" t="s">
        <v>110</v>
      </c>
      <c r="F64" s="146" t="s">
        <v>115</v>
      </c>
    </row>
    <row r="65" spans="1:6">
      <c r="A65" s="141" t="s">
        <v>118</v>
      </c>
      <c r="B65" s="142" t="s">
        <v>269</v>
      </c>
      <c r="C65" s="142" t="s">
        <v>282</v>
      </c>
      <c r="D65" s="142" t="s">
        <v>273</v>
      </c>
      <c r="E65" s="143" t="s">
        <v>112</v>
      </c>
      <c r="F65" s="146" t="s">
        <v>115</v>
      </c>
    </row>
    <row r="66" spans="1:6">
      <c r="A66" s="141" t="s">
        <v>118</v>
      </c>
      <c r="B66" s="142" t="s">
        <v>269</v>
      </c>
      <c r="C66" s="142" t="s">
        <v>282</v>
      </c>
      <c r="D66" s="142" t="s">
        <v>274</v>
      </c>
      <c r="E66" s="143" t="s">
        <v>112</v>
      </c>
      <c r="F66" s="146" t="s">
        <v>115</v>
      </c>
    </row>
    <row r="67" spans="1:6">
      <c r="A67" s="141" t="s">
        <v>118</v>
      </c>
      <c r="B67" s="142" t="s">
        <v>269</v>
      </c>
      <c r="C67" s="142" t="s">
        <v>282</v>
      </c>
      <c r="D67" s="142" t="s">
        <v>275</v>
      </c>
      <c r="E67" s="143" t="s">
        <v>114</v>
      </c>
      <c r="F67" s="146" t="s">
        <v>115</v>
      </c>
    </row>
    <row r="68" spans="1:6">
      <c r="A68" s="141" t="s">
        <v>118</v>
      </c>
      <c r="B68" s="142" t="s">
        <v>269</v>
      </c>
      <c r="C68" s="142" t="s">
        <v>282</v>
      </c>
      <c r="D68" s="142" t="s">
        <v>276</v>
      </c>
      <c r="E68" s="143" t="s">
        <v>116</v>
      </c>
      <c r="F68" s="146" t="s">
        <v>115</v>
      </c>
    </row>
    <row r="69" spans="1:6">
      <c r="A69" s="141" t="s">
        <v>118</v>
      </c>
      <c r="B69" s="142" t="s">
        <v>269</v>
      </c>
      <c r="C69" s="142" t="s">
        <v>283</v>
      </c>
      <c r="D69" s="142" t="s">
        <v>269</v>
      </c>
      <c r="E69" s="143" t="s">
        <v>116</v>
      </c>
      <c r="F69" s="146" t="s">
        <v>117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G101"/>
  <sheetViews>
    <sheetView showGridLines="0" topLeftCell="B54" zoomScaleNormal="100" workbookViewId="0">
      <selection activeCell="D30" sqref="D30"/>
    </sheetView>
  </sheetViews>
  <sheetFormatPr defaultColWidth="10.77734375" defaultRowHeight="15" customHeight="1"/>
  <cols>
    <col min="1" max="1" width="10.77734375" style="1" hidden="1" customWidth="1"/>
    <col min="2" max="2" width="40.77734375" style="1" customWidth="1"/>
    <col min="3" max="3" width="67.77734375" style="1" customWidth="1"/>
    <col min="4" max="4" width="67.5546875" style="1" customWidth="1"/>
    <col min="5" max="5" width="19.44140625" style="61" customWidth="1"/>
    <col min="6" max="6" width="24" style="1" customWidth="1"/>
    <col min="7" max="248" width="10.77734375" style="1" customWidth="1"/>
    <col min="249" max="16384" width="10.77734375" style="1"/>
  </cols>
  <sheetData>
    <row r="1" spans="2:6" ht="15" customHeight="1">
      <c r="B1" s="86" t="s">
        <v>284</v>
      </c>
      <c r="C1" s="210" t="s">
        <v>285</v>
      </c>
      <c r="D1" s="211"/>
      <c r="E1" s="211"/>
      <c r="F1" s="211"/>
    </row>
    <row r="2" spans="2:6" ht="15" customHeight="1">
      <c r="B2" s="91"/>
      <c r="C2" s="26"/>
      <c r="D2" s="26"/>
      <c r="E2" s="87"/>
      <c r="F2" s="26"/>
    </row>
    <row r="3" spans="2:6" ht="49.05" customHeight="1">
      <c r="B3" s="102" t="s">
        <v>286</v>
      </c>
      <c r="C3" s="102" t="s">
        <v>2</v>
      </c>
      <c r="D3" s="102" t="s">
        <v>287</v>
      </c>
      <c r="E3" s="90"/>
      <c r="F3" s="62"/>
    </row>
    <row r="4" spans="2:6" ht="100.8">
      <c r="B4" s="118" t="s">
        <v>288</v>
      </c>
      <c r="C4" s="117" t="s">
        <v>289</v>
      </c>
      <c r="D4" s="119" t="s">
        <v>290</v>
      </c>
      <c r="E4" s="90"/>
      <c r="F4" s="62"/>
    </row>
    <row r="5" spans="2:6" ht="57.6">
      <c r="B5" s="118" t="s">
        <v>291</v>
      </c>
      <c r="C5" s="117" t="s">
        <v>292</v>
      </c>
      <c r="D5" s="117" t="s">
        <v>293</v>
      </c>
      <c r="E5" s="90"/>
      <c r="F5" s="62"/>
    </row>
    <row r="6" spans="2:6" ht="28.8">
      <c r="B6" s="118" t="s">
        <v>224</v>
      </c>
      <c r="C6" s="117" t="s">
        <v>294</v>
      </c>
      <c r="D6" s="117" t="s">
        <v>295</v>
      </c>
      <c r="E6" s="90"/>
      <c r="F6" s="62"/>
    </row>
    <row r="7" spans="2:6" ht="15" customHeight="1">
      <c r="B7" s="20"/>
      <c r="C7" s="89"/>
      <c r="D7" s="89"/>
      <c r="E7" s="88"/>
      <c r="F7" s="89"/>
    </row>
    <row r="8" spans="2:6" ht="15" customHeight="1">
      <c r="B8" s="86" t="s">
        <v>284</v>
      </c>
      <c r="C8" s="210" t="s">
        <v>296</v>
      </c>
      <c r="D8" s="211"/>
      <c r="E8" s="211"/>
      <c r="F8" s="211"/>
    </row>
    <row r="9" spans="2:6" ht="15" customHeight="1">
      <c r="B9" s="20"/>
      <c r="C9" s="22"/>
      <c r="D9" s="22"/>
      <c r="E9" s="112"/>
      <c r="F9" s="22"/>
    </row>
    <row r="10" spans="2:6" ht="49.05" customHeight="1">
      <c r="B10" s="103" t="s">
        <v>286</v>
      </c>
      <c r="C10" s="103" t="s">
        <v>2</v>
      </c>
      <c r="D10" s="103" t="s">
        <v>287</v>
      </c>
      <c r="E10" s="103" t="s">
        <v>297</v>
      </c>
      <c r="F10" s="103" t="s">
        <v>298</v>
      </c>
    </row>
    <row r="11" spans="2:6" ht="38.25" customHeight="1">
      <c r="B11" s="123" t="s">
        <v>299</v>
      </c>
      <c r="C11" s="124" t="s">
        <v>300</v>
      </c>
      <c r="D11" s="125" t="s">
        <v>301</v>
      </c>
      <c r="E11" s="121" t="s">
        <v>302</v>
      </c>
      <c r="F11" s="126" t="s">
        <v>303</v>
      </c>
    </row>
    <row r="12" spans="2:6" ht="38.25" customHeight="1">
      <c r="B12" s="123" t="s">
        <v>38</v>
      </c>
      <c r="C12" s="127" t="s">
        <v>304</v>
      </c>
      <c r="D12" s="127" t="s">
        <v>305</v>
      </c>
      <c r="E12" s="121" t="s">
        <v>302</v>
      </c>
      <c r="F12" s="126" t="s">
        <v>306</v>
      </c>
    </row>
    <row r="13" spans="2:6" ht="38.25" customHeight="1">
      <c r="B13" s="123" t="s">
        <v>307</v>
      </c>
      <c r="C13" s="127" t="s">
        <v>308</v>
      </c>
      <c r="D13" s="127" t="s">
        <v>309</v>
      </c>
      <c r="E13" s="121" t="s">
        <v>302</v>
      </c>
      <c r="F13" s="126" t="s">
        <v>310</v>
      </c>
    </row>
    <row r="14" spans="2:6" ht="38.25" customHeight="1">
      <c r="B14" s="123" t="s">
        <v>311</v>
      </c>
      <c r="C14" s="127" t="s">
        <v>312</v>
      </c>
      <c r="D14" s="127" t="s">
        <v>313</v>
      </c>
      <c r="E14" s="121" t="s">
        <v>302</v>
      </c>
      <c r="F14" s="126" t="s">
        <v>314</v>
      </c>
    </row>
    <row r="15" spans="2:6" ht="38.25" customHeight="1">
      <c r="B15" s="123" t="s">
        <v>34</v>
      </c>
      <c r="C15" s="127" t="s">
        <v>315</v>
      </c>
      <c r="D15" s="127" t="s">
        <v>316</v>
      </c>
      <c r="E15" s="121" t="s">
        <v>302</v>
      </c>
      <c r="F15" s="126" t="s">
        <v>317</v>
      </c>
    </row>
    <row r="16" spans="2:6" ht="38.25" customHeight="1">
      <c r="B16" s="123" t="s">
        <v>36</v>
      </c>
      <c r="C16" s="124" t="s">
        <v>318</v>
      </c>
      <c r="D16" s="125" t="s">
        <v>319</v>
      </c>
      <c r="E16" s="121" t="s">
        <v>302</v>
      </c>
      <c r="F16" s="126" t="s">
        <v>320</v>
      </c>
    </row>
    <row r="17" spans="2:7" ht="38.25" customHeight="1">
      <c r="B17" s="123" t="s">
        <v>321</v>
      </c>
      <c r="C17" s="127" t="s">
        <v>322</v>
      </c>
      <c r="D17" s="125" t="s">
        <v>323</v>
      </c>
      <c r="E17" s="122" t="s">
        <v>302</v>
      </c>
      <c r="F17" s="128" t="s">
        <v>324</v>
      </c>
      <c r="G17" s="60"/>
    </row>
    <row r="18" spans="2:7" ht="116.1" customHeight="1">
      <c r="B18" s="129" t="s">
        <v>325</v>
      </c>
      <c r="C18" s="125" t="s">
        <v>326</v>
      </c>
      <c r="D18" s="125" t="s">
        <v>327</v>
      </c>
      <c r="E18" s="122" t="s">
        <v>302</v>
      </c>
      <c r="F18" s="128" t="s">
        <v>328</v>
      </c>
      <c r="G18" s="60"/>
    </row>
    <row r="19" spans="2:7" ht="66" customHeight="1">
      <c r="B19" s="129" t="s">
        <v>329</v>
      </c>
      <c r="C19" s="125" t="s">
        <v>330</v>
      </c>
      <c r="D19" s="125" t="s">
        <v>331</v>
      </c>
      <c r="E19" s="122" t="s">
        <v>302</v>
      </c>
      <c r="F19" s="128" t="s">
        <v>332</v>
      </c>
      <c r="G19" s="60"/>
    </row>
    <row r="20" spans="2:7" ht="115.2">
      <c r="B20" s="129" t="s">
        <v>333</v>
      </c>
      <c r="C20" s="125" t="s">
        <v>334</v>
      </c>
      <c r="D20" s="125" t="s">
        <v>335</v>
      </c>
      <c r="E20" s="122" t="s">
        <v>302</v>
      </c>
      <c r="F20" s="128" t="s">
        <v>336</v>
      </c>
      <c r="G20" s="60"/>
    </row>
    <row r="22" spans="2:7" ht="15" customHeight="1">
      <c r="B22" s="86" t="s">
        <v>284</v>
      </c>
      <c r="C22" s="85" t="s">
        <v>63</v>
      </c>
      <c r="D22" s="84"/>
      <c r="F22" s="61"/>
    </row>
    <row r="23" spans="2:7" ht="49.05" customHeight="1">
      <c r="B23" s="103" t="s">
        <v>286</v>
      </c>
      <c r="C23" s="103" t="s">
        <v>2</v>
      </c>
      <c r="D23" s="103" t="s">
        <v>287</v>
      </c>
      <c r="F23" s="61"/>
      <c r="G23" s="60"/>
    </row>
    <row r="24" spans="2:7" ht="63" customHeight="1">
      <c r="B24" s="129" t="s">
        <v>337</v>
      </c>
      <c r="C24" s="135" t="s">
        <v>338</v>
      </c>
      <c r="D24" s="119" t="s">
        <v>339</v>
      </c>
      <c r="F24" s="61"/>
      <c r="G24" s="60"/>
    </row>
    <row r="25" spans="2:7" ht="64.5" customHeight="1">
      <c r="B25" s="129" t="s">
        <v>340</v>
      </c>
      <c r="C25" s="135" t="s">
        <v>341</v>
      </c>
      <c r="D25" s="119" t="s">
        <v>342</v>
      </c>
      <c r="F25" s="61"/>
      <c r="G25" s="60"/>
    </row>
    <row r="26" spans="2:7" ht="15" customHeight="1">
      <c r="F26" s="61"/>
    </row>
    <row r="27" spans="2:7" ht="15" customHeight="1">
      <c r="B27" s="86" t="s">
        <v>284</v>
      </c>
      <c r="C27" s="207" t="s">
        <v>343</v>
      </c>
      <c r="D27" s="208"/>
      <c r="E27" s="208"/>
      <c r="F27" s="209"/>
      <c r="G27" s="60"/>
    </row>
    <row r="28" spans="2:7" ht="15" customHeight="1">
      <c r="B28" s="20"/>
      <c r="C28" s="22"/>
      <c r="D28" s="22"/>
      <c r="E28" s="112"/>
      <c r="F28" s="27"/>
      <c r="G28" s="60"/>
    </row>
    <row r="29" spans="2:7" ht="49.05" customHeight="1">
      <c r="B29" s="103" t="s">
        <v>286</v>
      </c>
      <c r="C29" s="103" t="s">
        <v>2</v>
      </c>
      <c r="D29" s="103" t="s">
        <v>287</v>
      </c>
      <c r="E29" s="103" t="s">
        <v>297</v>
      </c>
      <c r="F29" s="103" t="s">
        <v>344</v>
      </c>
      <c r="G29" s="60"/>
    </row>
    <row r="30" spans="2:7" ht="66" customHeight="1">
      <c r="B30" s="129" t="s">
        <v>345</v>
      </c>
      <c r="C30" s="125" t="s">
        <v>346</v>
      </c>
      <c r="D30" s="125" t="s">
        <v>347</v>
      </c>
      <c r="E30" s="122" t="s">
        <v>302</v>
      </c>
      <c r="F30" s="128" t="s">
        <v>348</v>
      </c>
      <c r="G30" s="60"/>
    </row>
    <row r="31" spans="2:7" ht="49.05" customHeight="1">
      <c r="B31" s="129" t="s">
        <v>349</v>
      </c>
      <c r="C31" s="125" t="s">
        <v>350</v>
      </c>
      <c r="D31" s="125" t="s">
        <v>351</v>
      </c>
      <c r="E31" s="122" t="s">
        <v>302</v>
      </c>
      <c r="F31" s="128" t="s">
        <v>352</v>
      </c>
      <c r="G31" s="60"/>
    </row>
    <row r="32" spans="2:7" ht="33" customHeight="1">
      <c r="B32" s="129" t="s">
        <v>353</v>
      </c>
      <c r="C32" s="125" t="s">
        <v>354</v>
      </c>
      <c r="D32" s="125" t="s">
        <v>355</v>
      </c>
      <c r="E32" s="122" t="s">
        <v>302</v>
      </c>
      <c r="F32" s="128" t="s">
        <v>356</v>
      </c>
      <c r="G32" s="60"/>
    </row>
    <row r="33" spans="2:7" ht="33" customHeight="1">
      <c r="B33" s="129" t="s">
        <v>357</v>
      </c>
      <c r="C33" s="125" t="s">
        <v>358</v>
      </c>
      <c r="D33" s="125" t="s">
        <v>359</v>
      </c>
      <c r="E33" s="122" t="s">
        <v>302</v>
      </c>
      <c r="F33" s="128" t="s">
        <v>360</v>
      </c>
      <c r="G33" s="60"/>
    </row>
    <row r="34" spans="2:7" ht="33" customHeight="1">
      <c r="B34" s="129" t="s">
        <v>361</v>
      </c>
      <c r="C34" s="125" t="s">
        <v>362</v>
      </c>
      <c r="D34" s="125" t="s">
        <v>363</v>
      </c>
      <c r="E34" s="122" t="s">
        <v>302</v>
      </c>
      <c r="F34" s="128" t="s">
        <v>364</v>
      </c>
      <c r="G34" s="60"/>
    </row>
    <row r="35" spans="2:7" ht="33" customHeight="1">
      <c r="B35" s="129" t="s">
        <v>365</v>
      </c>
      <c r="C35" s="125" t="s">
        <v>366</v>
      </c>
      <c r="D35" s="125" t="s">
        <v>367</v>
      </c>
      <c r="E35" s="122" t="s">
        <v>302</v>
      </c>
      <c r="F35" s="128" t="s">
        <v>368</v>
      </c>
      <c r="G35" s="60"/>
    </row>
    <row r="36" spans="2:7" ht="33" customHeight="1">
      <c r="B36" s="129" t="s">
        <v>369</v>
      </c>
      <c r="C36" s="125" t="s">
        <v>370</v>
      </c>
      <c r="D36" s="125" t="s">
        <v>371</v>
      </c>
      <c r="E36" s="122" t="s">
        <v>372</v>
      </c>
      <c r="F36" s="128" t="s">
        <v>373</v>
      </c>
      <c r="G36" s="60"/>
    </row>
    <row r="37" spans="2:7" ht="33" customHeight="1">
      <c r="B37" s="129" t="s">
        <v>374</v>
      </c>
      <c r="C37" s="125" t="s">
        <v>375</v>
      </c>
      <c r="D37" s="125" t="s">
        <v>376</v>
      </c>
      <c r="E37" s="122" t="s">
        <v>372</v>
      </c>
      <c r="F37" s="128" t="s">
        <v>377</v>
      </c>
      <c r="G37" s="60"/>
    </row>
    <row r="38" spans="2:7" ht="34.049999999999997" customHeight="1">
      <c r="B38" s="129" t="s">
        <v>378</v>
      </c>
      <c r="C38" s="125" t="s">
        <v>379</v>
      </c>
      <c r="D38" s="125" t="s">
        <v>380</v>
      </c>
      <c r="E38" s="122" t="s">
        <v>372</v>
      </c>
      <c r="F38" s="128" t="s">
        <v>381</v>
      </c>
      <c r="G38" s="60"/>
    </row>
    <row r="39" spans="2:7" ht="80.099999999999994" customHeight="1">
      <c r="B39" s="129" t="s">
        <v>382</v>
      </c>
      <c r="C39" s="125" t="s">
        <v>383</v>
      </c>
      <c r="D39" s="125" t="s">
        <v>384</v>
      </c>
      <c r="E39" s="122" t="s">
        <v>372</v>
      </c>
      <c r="F39" s="136" t="s">
        <v>385</v>
      </c>
      <c r="G39" s="60"/>
    </row>
    <row r="40" spans="2:7" ht="32.1" customHeight="1">
      <c r="B40" s="129" t="s">
        <v>386</v>
      </c>
      <c r="C40" s="125" t="s">
        <v>387</v>
      </c>
      <c r="D40" s="125" t="s">
        <v>388</v>
      </c>
      <c r="E40" s="122" t="s">
        <v>372</v>
      </c>
      <c r="F40" s="136" t="s">
        <v>389</v>
      </c>
      <c r="G40" s="60"/>
    </row>
    <row r="41" spans="2:7" ht="64.05" customHeight="1">
      <c r="B41" s="129" t="s">
        <v>390</v>
      </c>
      <c r="C41" s="125" t="s">
        <v>391</v>
      </c>
      <c r="D41" s="125" t="s">
        <v>392</v>
      </c>
      <c r="E41" s="122" t="s">
        <v>372</v>
      </c>
      <c r="F41" s="136" t="s">
        <v>393</v>
      </c>
      <c r="G41" s="80" t="s">
        <v>394</v>
      </c>
    </row>
    <row r="42" spans="2:7" ht="19.5" customHeight="1">
      <c r="B42" s="63"/>
      <c r="C42" s="64"/>
      <c r="D42" s="64"/>
      <c r="E42" s="66"/>
      <c r="F42" s="65"/>
      <c r="G42" s="60"/>
    </row>
    <row r="43" spans="2:7" ht="15" customHeight="1">
      <c r="B43" s="25"/>
      <c r="C43" s="22"/>
      <c r="D43" s="22"/>
      <c r="E43" s="112"/>
      <c r="F43" s="22"/>
      <c r="G43" s="60"/>
    </row>
    <row r="44" spans="2:7" ht="15" customHeight="1">
      <c r="B44" s="86" t="s">
        <v>284</v>
      </c>
      <c r="C44" s="207" t="s">
        <v>395</v>
      </c>
      <c r="D44" s="208"/>
      <c r="E44" s="208"/>
      <c r="F44" s="209"/>
      <c r="G44" s="60"/>
    </row>
    <row r="45" spans="2:7" ht="15" customHeight="1">
      <c r="B45" s="20"/>
      <c r="C45" s="22"/>
      <c r="D45" s="22"/>
      <c r="E45" s="112"/>
      <c r="F45" s="27"/>
      <c r="G45" s="60"/>
    </row>
    <row r="46" spans="2:7" ht="49.05" customHeight="1">
      <c r="B46" s="104" t="s">
        <v>286</v>
      </c>
      <c r="C46" s="104" t="s">
        <v>2</v>
      </c>
      <c r="D46" s="104" t="s">
        <v>287</v>
      </c>
      <c r="E46" s="104" t="s">
        <v>297</v>
      </c>
      <c r="F46" s="104" t="s">
        <v>344</v>
      </c>
      <c r="G46" s="60"/>
    </row>
    <row r="47" spans="2:7" ht="38.25" customHeight="1">
      <c r="B47" s="123" t="s">
        <v>299</v>
      </c>
      <c r="C47" s="124" t="s">
        <v>300</v>
      </c>
      <c r="D47" s="125" t="s">
        <v>301</v>
      </c>
      <c r="E47" s="121" t="s">
        <v>302</v>
      </c>
      <c r="F47" s="126" t="s">
        <v>303</v>
      </c>
      <c r="G47" s="60"/>
    </row>
    <row r="48" spans="2:7" ht="38.25" customHeight="1">
      <c r="B48" s="123" t="s">
        <v>38</v>
      </c>
      <c r="C48" s="127" t="s">
        <v>304</v>
      </c>
      <c r="D48" s="127" t="s">
        <v>305</v>
      </c>
      <c r="E48" s="121" t="s">
        <v>302</v>
      </c>
      <c r="F48" s="126" t="s">
        <v>306</v>
      </c>
      <c r="G48" s="60"/>
    </row>
    <row r="49" spans="2:6" ht="38.25" customHeight="1">
      <c r="B49" s="123" t="s">
        <v>307</v>
      </c>
      <c r="C49" s="127" t="s">
        <v>308</v>
      </c>
      <c r="D49" s="127" t="s">
        <v>309</v>
      </c>
      <c r="E49" s="121" t="s">
        <v>302</v>
      </c>
      <c r="F49" s="126" t="s">
        <v>310</v>
      </c>
    </row>
    <row r="50" spans="2:6" ht="38.25" customHeight="1">
      <c r="B50" s="123" t="s">
        <v>311</v>
      </c>
      <c r="C50" s="127" t="s">
        <v>312</v>
      </c>
      <c r="D50" s="127" t="s">
        <v>313</v>
      </c>
      <c r="E50" s="121" t="s">
        <v>302</v>
      </c>
      <c r="F50" s="126" t="s">
        <v>314</v>
      </c>
    </row>
    <row r="51" spans="2:6" ht="38.25" customHeight="1">
      <c r="B51" s="123" t="s">
        <v>34</v>
      </c>
      <c r="C51" s="127" t="s">
        <v>315</v>
      </c>
      <c r="D51" s="127" t="s">
        <v>316</v>
      </c>
      <c r="E51" s="121" t="s">
        <v>302</v>
      </c>
      <c r="F51" s="126" t="s">
        <v>317</v>
      </c>
    </row>
    <row r="52" spans="2:6" ht="38.25" customHeight="1">
      <c r="B52" s="123" t="s">
        <v>36</v>
      </c>
      <c r="C52" s="124" t="s">
        <v>318</v>
      </c>
      <c r="D52" s="125" t="s">
        <v>319</v>
      </c>
      <c r="E52" s="121" t="s">
        <v>302</v>
      </c>
      <c r="F52" s="126" t="s">
        <v>320</v>
      </c>
    </row>
    <row r="53" spans="2:6" ht="38.25" customHeight="1">
      <c r="B53" s="123" t="s">
        <v>321</v>
      </c>
      <c r="C53" s="127" t="s">
        <v>322</v>
      </c>
      <c r="D53" s="125" t="s">
        <v>323</v>
      </c>
      <c r="E53" s="122" t="s">
        <v>302</v>
      </c>
      <c r="F53" s="128" t="s">
        <v>324</v>
      </c>
    </row>
    <row r="54" spans="2:6" ht="116.1" customHeight="1">
      <c r="B54" s="129" t="s">
        <v>325</v>
      </c>
      <c r="C54" s="125" t="s">
        <v>326</v>
      </c>
      <c r="D54" s="125" t="s">
        <v>327</v>
      </c>
      <c r="E54" s="122" t="s">
        <v>302</v>
      </c>
      <c r="F54" s="128" t="s">
        <v>328</v>
      </c>
    </row>
    <row r="55" spans="2:6" ht="66" customHeight="1">
      <c r="B55" s="129" t="s">
        <v>329</v>
      </c>
      <c r="C55" s="125" t="s">
        <v>330</v>
      </c>
      <c r="D55" s="125" t="s">
        <v>331</v>
      </c>
      <c r="E55" s="122" t="s">
        <v>302</v>
      </c>
      <c r="F55" s="128" t="s">
        <v>332</v>
      </c>
    </row>
    <row r="56" spans="2:6" ht="115.2">
      <c r="B56" s="129" t="s">
        <v>333</v>
      </c>
      <c r="C56" s="125" t="s">
        <v>334</v>
      </c>
      <c r="D56" s="125" t="s">
        <v>335</v>
      </c>
      <c r="E56" s="122" t="s">
        <v>302</v>
      </c>
      <c r="F56" s="128" t="s">
        <v>336</v>
      </c>
    </row>
    <row r="57" spans="2:6" ht="66" customHeight="1">
      <c r="B57" s="129" t="s">
        <v>345</v>
      </c>
      <c r="C57" s="125" t="s">
        <v>346</v>
      </c>
      <c r="D57" s="125" t="s">
        <v>347</v>
      </c>
      <c r="E57" s="122" t="s">
        <v>302</v>
      </c>
      <c r="F57" s="128" t="s">
        <v>348</v>
      </c>
    </row>
    <row r="58" spans="2:6" ht="49.05" customHeight="1">
      <c r="B58" s="129" t="s">
        <v>349</v>
      </c>
      <c r="C58" s="125" t="s">
        <v>350</v>
      </c>
      <c r="D58" s="125" t="s">
        <v>351</v>
      </c>
      <c r="E58" s="122" t="s">
        <v>302</v>
      </c>
      <c r="F58" s="128" t="s">
        <v>352</v>
      </c>
    </row>
    <row r="59" spans="2:6" ht="33" customHeight="1">
      <c r="B59" s="129" t="s">
        <v>353</v>
      </c>
      <c r="C59" s="125" t="s">
        <v>354</v>
      </c>
      <c r="D59" s="125" t="s">
        <v>355</v>
      </c>
      <c r="E59" s="122" t="s">
        <v>302</v>
      </c>
      <c r="F59" s="128" t="s">
        <v>356</v>
      </c>
    </row>
    <row r="60" spans="2:6" ht="33" customHeight="1">
      <c r="B60" s="129" t="s">
        <v>357</v>
      </c>
      <c r="C60" s="125" t="s">
        <v>358</v>
      </c>
      <c r="D60" s="125" t="s">
        <v>359</v>
      </c>
      <c r="E60" s="122" t="s">
        <v>302</v>
      </c>
      <c r="F60" s="128" t="s">
        <v>360</v>
      </c>
    </row>
    <row r="61" spans="2:6" ht="33" customHeight="1">
      <c r="B61" s="129" t="s">
        <v>361</v>
      </c>
      <c r="C61" s="125" t="s">
        <v>362</v>
      </c>
      <c r="D61" s="125" t="s">
        <v>363</v>
      </c>
      <c r="E61" s="122" t="s">
        <v>302</v>
      </c>
      <c r="F61" s="128" t="s">
        <v>364</v>
      </c>
    </row>
    <row r="62" spans="2:6" ht="33" customHeight="1">
      <c r="B62" s="129" t="s">
        <v>365</v>
      </c>
      <c r="C62" s="125" t="s">
        <v>366</v>
      </c>
      <c r="D62" s="125" t="s">
        <v>367</v>
      </c>
      <c r="E62" s="122" t="s">
        <v>302</v>
      </c>
      <c r="F62" s="128" t="s">
        <v>368</v>
      </c>
    </row>
    <row r="63" spans="2:6" ht="92.25" customHeight="1">
      <c r="B63" s="129" t="s">
        <v>396</v>
      </c>
      <c r="C63" s="125" t="s">
        <v>397</v>
      </c>
      <c r="D63" s="125" t="s">
        <v>398</v>
      </c>
      <c r="E63" s="122" t="s">
        <v>372</v>
      </c>
      <c r="F63" s="128" t="s">
        <v>399</v>
      </c>
    </row>
    <row r="65" spans="1:7" ht="15" customHeight="1">
      <c r="A65" s="21"/>
      <c r="B65" s="86" t="s">
        <v>284</v>
      </c>
      <c r="C65" s="207" t="s">
        <v>65</v>
      </c>
      <c r="D65" s="208"/>
      <c r="E65" s="208"/>
      <c r="F65" s="209"/>
      <c r="G65" s="60"/>
    </row>
    <row r="66" spans="1:7" ht="15" customHeight="1">
      <c r="A66" s="19"/>
      <c r="B66" s="20"/>
      <c r="C66" s="22"/>
      <c r="D66" s="22"/>
      <c r="E66" s="112"/>
      <c r="F66" s="27"/>
      <c r="G66" s="60"/>
    </row>
    <row r="67" spans="1:7" ht="49.05" customHeight="1">
      <c r="A67" s="21"/>
      <c r="B67" s="103" t="s">
        <v>286</v>
      </c>
      <c r="C67" s="103" t="s">
        <v>2</v>
      </c>
      <c r="D67" s="103" t="s">
        <v>287</v>
      </c>
      <c r="E67" s="103" t="s">
        <v>297</v>
      </c>
      <c r="F67" s="103" t="s">
        <v>344</v>
      </c>
      <c r="G67" s="60"/>
    </row>
    <row r="68" spans="1:7" ht="153" customHeight="1">
      <c r="A68" s="21"/>
      <c r="B68" s="123" t="s">
        <v>400</v>
      </c>
      <c r="C68" s="124" t="s">
        <v>401</v>
      </c>
      <c r="D68" s="124" t="s">
        <v>402</v>
      </c>
      <c r="E68" s="121" t="s">
        <v>403</v>
      </c>
      <c r="F68" s="130" t="s">
        <v>404</v>
      </c>
      <c r="G68" s="60"/>
    </row>
    <row r="69" spans="1:7" ht="135" customHeight="1">
      <c r="A69" s="21"/>
      <c r="B69" s="123" t="s">
        <v>405</v>
      </c>
      <c r="C69" s="124" t="s">
        <v>406</v>
      </c>
      <c r="D69" s="124" t="s">
        <v>407</v>
      </c>
      <c r="E69" s="121" t="s">
        <v>403</v>
      </c>
      <c r="F69" s="130" t="s">
        <v>404</v>
      </c>
      <c r="G69" s="60"/>
    </row>
    <row r="70" spans="1:7" ht="105" customHeight="1">
      <c r="A70" s="28"/>
      <c r="B70" s="23" t="s">
        <v>408</v>
      </c>
      <c r="C70" s="24" t="s">
        <v>409</v>
      </c>
      <c r="D70" s="24" t="s">
        <v>410</v>
      </c>
      <c r="E70" s="10" t="s">
        <v>403</v>
      </c>
      <c r="F70" s="8" t="s">
        <v>404</v>
      </c>
      <c r="G70" s="60"/>
    </row>
    <row r="72" spans="1:7" ht="15" customHeight="1">
      <c r="B72" s="86" t="s">
        <v>284</v>
      </c>
      <c r="C72" s="82" t="s">
        <v>57</v>
      </c>
      <c r="D72" s="113"/>
      <c r="E72" s="113"/>
      <c r="F72" s="83"/>
    </row>
    <row r="73" spans="1:7" s="36" customFormat="1" ht="16.05" customHeight="1">
      <c r="A73" s="11" t="s">
        <v>88</v>
      </c>
      <c r="B73" s="197"/>
      <c r="C73" s="198"/>
      <c r="D73" s="198"/>
      <c r="E73" s="198"/>
      <c r="F73" s="198"/>
    </row>
    <row r="74" spans="1:7" s="36" customFormat="1" ht="275.25" customHeight="1">
      <c r="A74" s="46" t="s">
        <v>411</v>
      </c>
      <c r="B74" s="203" t="s">
        <v>412</v>
      </c>
      <c r="C74" s="200"/>
      <c r="D74" s="200"/>
      <c r="E74" s="200"/>
      <c r="F74" s="200"/>
      <c r="G74" s="115" t="s">
        <v>413</v>
      </c>
    </row>
    <row r="75" spans="1:7" s="36" customFormat="1" ht="94.5" customHeight="1">
      <c r="A75" s="46" t="s">
        <v>411</v>
      </c>
      <c r="B75" s="203" t="s">
        <v>414</v>
      </c>
      <c r="C75" s="200"/>
      <c r="D75" s="200"/>
      <c r="E75" s="200"/>
      <c r="F75" s="200"/>
      <c r="G75" s="115" t="s">
        <v>415</v>
      </c>
    </row>
    <row r="76" spans="1:7" s="36" customFormat="1" ht="76.5" customHeight="1">
      <c r="A76" s="46" t="s">
        <v>411</v>
      </c>
      <c r="B76" s="199" t="s">
        <v>416</v>
      </c>
      <c r="C76" s="200"/>
      <c r="D76" s="200"/>
      <c r="E76" s="200"/>
      <c r="F76" s="200"/>
    </row>
    <row r="77" spans="1:7" s="36" customFormat="1" ht="76.5" customHeight="1">
      <c r="A77" s="42" t="s">
        <v>411</v>
      </c>
      <c r="B77" s="212" t="s">
        <v>417</v>
      </c>
      <c r="C77" s="213"/>
      <c r="D77" s="213"/>
      <c r="E77" s="213"/>
      <c r="F77" s="213"/>
    </row>
    <row r="78" spans="1:7" ht="88.5" customHeight="1">
      <c r="A78" s="199" t="s">
        <v>418</v>
      </c>
      <c r="B78" s="199"/>
      <c r="C78" s="199"/>
      <c r="D78" s="199"/>
      <c r="E78" s="199"/>
      <c r="F78" s="199"/>
    </row>
    <row r="79" spans="1:7" ht="70.5" customHeight="1">
      <c r="A79" s="199" t="s">
        <v>419</v>
      </c>
      <c r="B79" s="199"/>
      <c r="C79" s="199"/>
      <c r="D79" s="199"/>
      <c r="E79" s="199"/>
      <c r="F79" s="199"/>
    </row>
    <row r="80" spans="1:7" ht="139.5" customHeight="1">
      <c r="A80" s="92"/>
      <c r="B80" s="204" t="s">
        <v>420</v>
      </c>
      <c r="C80" s="205"/>
      <c r="D80" s="205"/>
      <c r="E80" s="205"/>
      <c r="F80" s="206"/>
    </row>
    <row r="81" spans="1:6" ht="139.5" customHeight="1">
      <c r="A81" s="92"/>
      <c r="B81" s="204" t="s">
        <v>421</v>
      </c>
      <c r="C81" s="205"/>
      <c r="D81" s="205"/>
      <c r="E81" s="205"/>
      <c r="F81" s="206"/>
    </row>
    <row r="82" spans="1:6" ht="141" customHeight="1">
      <c r="A82" s="203" t="s">
        <v>422</v>
      </c>
      <c r="B82" s="199"/>
      <c r="C82" s="199"/>
      <c r="D82" s="199"/>
      <c r="E82" s="199"/>
      <c r="F82" s="199"/>
    </row>
    <row r="83" spans="1:6" ht="115.5" customHeight="1">
      <c r="A83" s="93"/>
      <c r="B83" s="199" t="s">
        <v>423</v>
      </c>
      <c r="C83" s="199"/>
      <c r="D83" s="199"/>
      <c r="E83" s="199"/>
      <c r="F83" s="199"/>
    </row>
    <row r="84" spans="1:6" ht="70.5" customHeight="1">
      <c r="A84" s="93"/>
      <c r="B84" s="93"/>
      <c r="C84" s="93"/>
      <c r="D84" s="93"/>
      <c r="E84" s="93"/>
      <c r="F84" s="93"/>
    </row>
    <row r="85" spans="1:6" ht="70.5" customHeight="1">
      <c r="A85" s="93"/>
      <c r="B85" s="93"/>
      <c r="C85" s="93"/>
      <c r="D85" s="93"/>
      <c r="E85" s="93"/>
      <c r="F85" s="93"/>
    </row>
    <row r="86" spans="1:6" ht="70.5" customHeight="1">
      <c r="A86" s="93"/>
      <c r="B86" s="93"/>
      <c r="C86" s="93"/>
      <c r="D86" s="93"/>
      <c r="E86" s="93"/>
      <c r="F86" s="93"/>
    </row>
    <row r="87" spans="1:6" ht="70.5" customHeight="1">
      <c r="A87" s="93"/>
      <c r="B87" s="93"/>
      <c r="C87" s="93"/>
      <c r="D87" s="93"/>
      <c r="E87" s="93"/>
      <c r="F87" s="93"/>
    </row>
    <row r="91" spans="1:6" ht="15" customHeight="1">
      <c r="B91" s="86" t="s">
        <v>284</v>
      </c>
      <c r="C91" s="82" t="s">
        <v>72</v>
      </c>
      <c r="D91" s="113"/>
      <c r="E91" s="113"/>
      <c r="F91" s="83"/>
    </row>
    <row r="92" spans="1:6" s="36" customFormat="1" ht="16.05" customHeight="1">
      <c r="A92" s="11" t="s">
        <v>88</v>
      </c>
      <c r="B92" s="197"/>
      <c r="C92" s="198"/>
      <c r="D92" s="198"/>
      <c r="E92" s="198"/>
      <c r="F92" s="198"/>
    </row>
    <row r="93" spans="1:6" s="36" customFormat="1" ht="135" customHeight="1">
      <c r="A93" s="46" t="s">
        <v>411</v>
      </c>
      <c r="B93" s="199" t="s">
        <v>424</v>
      </c>
      <c r="C93" s="200"/>
      <c r="D93" s="200"/>
      <c r="E93" s="200"/>
      <c r="F93" s="200"/>
    </row>
    <row r="95" spans="1:6" ht="15" customHeight="1">
      <c r="B95" s="86" t="s">
        <v>284</v>
      </c>
      <c r="C95" s="82" t="s">
        <v>74</v>
      </c>
      <c r="D95" s="113"/>
      <c r="E95" s="113"/>
      <c r="F95" s="83"/>
    </row>
    <row r="96" spans="1:6" s="36" customFormat="1" ht="16.05" customHeight="1">
      <c r="A96" s="11" t="s">
        <v>88</v>
      </c>
      <c r="B96" s="197"/>
      <c r="C96" s="198"/>
      <c r="D96" s="198"/>
      <c r="E96" s="198"/>
      <c r="F96" s="198"/>
    </row>
    <row r="97" spans="1:6" s="36" customFormat="1" ht="160.5" customHeight="1">
      <c r="A97" s="46" t="s">
        <v>411</v>
      </c>
      <c r="B97" s="199" t="s">
        <v>425</v>
      </c>
      <c r="C97" s="200"/>
      <c r="D97" s="200"/>
      <c r="E97" s="200"/>
      <c r="F97" s="200"/>
    </row>
    <row r="99" spans="1:6" ht="15" customHeight="1">
      <c r="B99" s="86" t="s">
        <v>284</v>
      </c>
      <c r="C99" s="82" t="s">
        <v>426</v>
      </c>
      <c r="D99" s="113"/>
      <c r="E99" s="113"/>
      <c r="F99" s="83"/>
    </row>
    <row r="100" spans="1:6" s="36" customFormat="1" ht="16.05" customHeight="1">
      <c r="A100" s="11" t="s">
        <v>88</v>
      </c>
      <c r="B100" s="197"/>
      <c r="C100" s="198"/>
      <c r="D100" s="198"/>
      <c r="E100" s="198"/>
      <c r="F100" s="198"/>
    </row>
    <row r="101" spans="1:6" s="36" customFormat="1" ht="50.25" customHeight="1">
      <c r="A101" s="46" t="s">
        <v>411</v>
      </c>
      <c r="B101" s="201" t="s">
        <v>427</v>
      </c>
      <c r="C101" s="202"/>
      <c r="D101" s="202"/>
      <c r="E101" s="202"/>
      <c r="F101" s="202"/>
    </row>
  </sheetData>
  <mergeCells count="22">
    <mergeCell ref="B74:F74"/>
    <mergeCell ref="B73:F73"/>
    <mergeCell ref="B75:F75"/>
    <mergeCell ref="B76:F76"/>
    <mergeCell ref="B77:F77"/>
    <mergeCell ref="C44:F44"/>
    <mergeCell ref="C65:F65"/>
    <mergeCell ref="C8:F8"/>
    <mergeCell ref="C27:F27"/>
    <mergeCell ref="C1:F1"/>
    <mergeCell ref="B96:F96"/>
    <mergeCell ref="B97:F97"/>
    <mergeCell ref="B100:F100"/>
    <mergeCell ref="B101:F101"/>
    <mergeCell ref="A78:F78"/>
    <mergeCell ref="A79:F79"/>
    <mergeCell ref="A82:F82"/>
    <mergeCell ref="B80:F80"/>
    <mergeCell ref="B81:F81"/>
    <mergeCell ref="B83:F83"/>
    <mergeCell ref="B92:F92"/>
    <mergeCell ref="B93:F93"/>
  </mergeCells>
  <pageMargins left="0.7" right="0.7" top="0.75" bottom="0.75" header="0.3" footer="0.3"/>
  <pageSetup orientation="portrait" r:id="rId1"/>
  <headerFooter>
    <oddFooter>&amp;C&amp;"Helvetica Neue,Regular"&amp;12&amp;K000000&amp;P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F0676-A1A2-439A-966D-7C0565D2568F}">
  <dimension ref="A1"/>
  <sheetViews>
    <sheetView workbookViewId="0"/>
  </sheetViews>
  <sheetFormatPr defaultRowHeight="14.4"/>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0FE06-FF8C-4CDB-94FD-7B0467666E27}">
  <sheetPr>
    <tabColor rgb="FFFF0000"/>
    <pageSetUpPr fitToPage="1"/>
  </sheetPr>
  <dimension ref="A1:Q880"/>
  <sheetViews>
    <sheetView showGridLines="0" zoomScale="85" zoomScaleNormal="85" workbookViewId="0">
      <pane ySplit="2" topLeftCell="A866" activePane="bottomLeft" state="frozen"/>
      <selection activeCell="F1" sqref="F1"/>
      <selection pane="bottomLeft" activeCell="B881" sqref="B881"/>
    </sheetView>
  </sheetViews>
  <sheetFormatPr defaultColWidth="12.44140625" defaultRowHeight="13.2"/>
  <cols>
    <col min="1" max="1" width="5.77734375" style="172" customWidth="1"/>
    <col min="2" max="2" width="35" style="80" customWidth="1"/>
    <col min="3" max="3" width="75.88671875" style="80" customWidth="1"/>
    <col min="4" max="4" width="37.5546875" style="80" customWidth="1"/>
    <col min="5" max="5" width="37.21875" style="80" bestFit="1" customWidth="1"/>
    <col min="6" max="6" width="19.109375" style="80" bestFit="1" customWidth="1"/>
    <col min="7" max="7" width="27.77734375" style="80" customWidth="1"/>
    <col min="8" max="9" width="12.44140625" style="80"/>
    <col min="10" max="12" width="11.5546875" style="79" customWidth="1"/>
    <col min="13" max="13" width="19.44140625" style="79" customWidth="1"/>
    <col min="14" max="14" width="12.44140625" style="79"/>
    <col min="15" max="17" width="12.44140625" style="79" bestFit="1" customWidth="1"/>
    <col min="18" max="16384" width="12.44140625" style="77"/>
  </cols>
  <sheetData>
    <row r="1" spans="1:17" ht="38.25" customHeight="1">
      <c r="A1" s="214" t="s">
        <v>428</v>
      </c>
      <c r="B1" s="215"/>
      <c r="C1" s="215"/>
      <c r="D1" s="215"/>
      <c r="E1" s="215"/>
      <c r="F1" s="215"/>
      <c r="G1" s="215"/>
      <c r="H1" s="215"/>
      <c r="I1" s="215"/>
      <c r="J1" s="215"/>
      <c r="K1" s="215"/>
      <c r="L1" s="215"/>
      <c r="M1" s="215"/>
      <c r="N1" s="215"/>
      <c r="O1" s="215"/>
      <c r="P1" s="215"/>
      <c r="Q1" s="215"/>
    </row>
    <row r="2" spans="1:17" s="174" customFormat="1" ht="35.25" customHeight="1">
      <c r="A2" s="78" t="s">
        <v>28</v>
      </c>
      <c r="B2" s="78" t="s">
        <v>429</v>
      </c>
      <c r="C2" s="78" t="s">
        <v>430</v>
      </c>
      <c r="D2" s="78" t="s">
        <v>431</v>
      </c>
      <c r="E2" s="78" t="s">
        <v>432</v>
      </c>
      <c r="F2" s="78" t="s">
        <v>433</v>
      </c>
      <c r="G2" s="78" t="s">
        <v>434</v>
      </c>
      <c r="H2" s="78" t="s">
        <v>435</v>
      </c>
      <c r="I2" s="78" t="s">
        <v>436</v>
      </c>
      <c r="J2" s="78" t="s">
        <v>437</v>
      </c>
      <c r="K2" s="78" t="s">
        <v>438</v>
      </c>
      <c r="L2" s="78" t="s">
        <v>439</v>
      </c>
      <c r="M2" s="78" t="s">
        <v>440</v>
      </c>
      <c r="N2" s="78" t="s">
        <v>441</v>
      </c>
      <c r="O2" s="78" t="s">
        <v>442</v>
      </c>
      <c r="P2" s="78" t="s">
        <v>443</v>
      </c>
      <c r="Q2" s="78" t="s">
        <v>444</v>
      </c>
    </row>
    <row r="3" spans="1:17" ht="26.4">
      <c r="A3" s="172">
        <v>1</v>
      </c>
      <c r="B3" s="80" t="s">
        <v>445</v>
      </c>
      <c r="C3" s="80" t="s">
        <v>446</v>
      </c>
      <c r="F3" s="80" t="s">
        <v>447</v>
      </c>
      <c r="G3" s="80" t="s">
        <v>448</v>
      </c>
      <c r="H3" s="80" t="s">
        <v>449</v>
      </c>
      <c r="I3" s="80" t="s">
        <v>450</v>
      </c>
      <c r="J3" s="79">
        <v>1</v>
      </c>
      <c r="K3" s="79">
        <v>0</v>
      </c>
      <c r="L3" s="79">
        <v>0</v>
      </c>
      <c r="M3" s="79" t="s">
        <v>451</v>
      </c>
      <c r="N3" s="79" t="s">
        <v>452</v>
      </c>
      <c r="O3" s="79" t="s">
        <v>453</v>
      </c>
      <c r="P3" s="79" t="s">
        <v>453</v>
      </c>
      <c r="Q3" s="79" t="s">
        <v>453</v>
      </c>
    </row>
    <row r="4" spans="1:17" ht="39.6">
      <c r="A4" s="172">
        <f>A3+1</f>
        <v>2</v>
      </c>
      <c r="B4" s="80" t="s">
        <v>454</v>
      </c>
      <c r="C4" s="80" t="s">
        <v>455</v>
      </c>
      <c r="F4" s="80" t="s">
        <v>447</v>
      </c>
      <c r="G4" s="80" t="s">
        <v>456</v>
      </c>
      <c r="H4" s="80">
        <v>0</v>
      </c>
      <c r="I4" s="80" t="s">
        <v>456</v>
      </c>
      <c r="J4" s="79">
        <v>4</v>
      </c>
      <c r="K4" s="79">
        <v>0</v>
      </c>
      <c r="L4" s="79">
        <v>0</v>
      </c>
      <c r="M4" s="79" t="s">
        <v>451</v>
      </c>
      <c r="N4" s="79" t="s">
        <v>452</v>
      </c>
      <c r="O4" s="79" t="s">
        <v>453</v>
      </c>
      <c r="P4" s="79" t="s">
        <v>453</v>
      </c>
      <c r="Q4" s="79" t="s">
        <v>453</v>
      </c>
    </row>
    <row r="5" spans="1:17">
      <c r="A5" s="172">
        <f t="shared" ref="A5:A20" si="0">A4+1</f>
        <v>3</v>
      </c>
      <c r="B5" s="80" t="s">
        <v>457</v>
      </c>
      <c r="C5" s="80" t="s">
        <v>458</v>
      </c>
      <c r="F5" s="80" t="s">
        <v>447</v>
      </c>
      <c r="G5" s="80" t="s">
        <v>459</v>
      </c>
      <c r="H5" s="80" t="s">
        <v>449</v>
      </c>
      <c r="I5" s="80" t="s">
        <v>450</v>
      </c>
      <c r="J5" s="79">
        <v>2</v>
      </c>
      <c r="K5" s="79">
        <v>0</v>
      </c>
      <c r="L5" s="79">
        <v>0</v>
      </c>
      <c r="M5" s="79" t="s">
        <v>451</v>
      </c>
      <c r="N5" s="79" t="s">
        <v>452</v>
      </c>
      <c r="O5" s="79" t="s">
        <v>453</v>
      </c>
      <c r="P5" s="79" t="s">
        <v>453</v>
      </c>
      <c r="Q5" s="79" t="s">
        <v>453</v>
      </c>
    </row>
    <row r="6" spans="1:17">
      <c r="A6" s="172">
        <f t="shared" si="0"/>
        <v>4</v>
      </c>
      <c r="B6" s="80" t="s">
        <v>460</v>
      </c>
      <c r="C6" s="80" t="s">
        <v>461</v>
      </c>
      <c r="E6" s="116" t="s">
        <v>462</v>
      </c>
      <c r="F6" s="80" t="s">
        <v>447</v>
      </c>
      <c r="G6" s="80" t="s">
        <v>463</v>
      </c>
      <c r="H6" s="80" t="s">
        <v>449</v>
      </c>
      <c r="I6" s="80" t="s">
        <v>456</v>
      </c>
      <c r="J6" s="79">
        <v>1</v>
      </c>
      <c r="K6" s="79">
        <v>0</v>
      </c>
      <c r="L6" s="79">
        <v>0</v>
      </c>
      <c r="M6" s="79" t="s">
        <v>451</v>
      </c>
      <c r="N6" s="79" t="s">
        <v>452</v>
      </c>
      <c r="O6" s="79" t="s">
        <v>453</v>
      </c>
      <c r="P6" s="79" t="s">
        <v>453</v>
      </c>
      <c r="Q6" s="79" t="s">
        <v>453</v>
      </c>
    </row>
    <row r="7" spans="1:17">
      <c r="A7" s="172">
        <f t="shared" si="0"/>
        <v>5</v>
      </c>
      <c r="B7" s="80" t="s">
        <v>464</v>
      </c>
      <c r="C7" s="80" t="s">
        <v>465</v>
      </c>
      <c r="F7" s="80" t="s">
        <v>447</v>
      </c>
      <c r="H7" s="80" t="s">
        <v>449</v>
      </c>
      <c r="I7" s="80" t="s">
        <v>450</v>
      </c>
      <c r="J7" s="79">
        <v>2</v>
      </c>
      <c r="K7" s="79">
        <v>0</v>
      </c>
      <c r="L7" s="79">
        <v>0</v>
      </c>
      <c r="M7" s="79" t="s">
        <v>451</v>
      </c>
      <c r="N7" s="79" t="s">
        <v>452</v>
      </c>
      <c r="O7" s="79" t="s">
        <v>453</v>
      </c>
      <c r="P7" s="79" t="s">
        <v>453</v>
      </c>
      <c r="Q7" s="79" t="s">
        <v>453</v>
      </c>
    </row>
    <row r="8" spans="1:17">
      <c r="A8" s="172">
        <f t="shared" si="0"/>
        <v>6</v>
      </c>
      <c r="B8" s="80" t="s">
        <v>466</v>
      </c>
      <c r="C8" s="80" t="s">
        <v>467</v>
      </c>
      <c r="F8" s="80" t="s">
        <v>447</v>
      </c>
      <c r="G8" s="80" t="s">
        <v>468</v>
      </c>
      <c r="H8" s="80" t="s">
        <v>118</v>
      </c>
      <c r="I8" s="80" t="s">
        <v>450</v>
      </c>
      <c r="J8" s="79">
        <v>1</v>
      </c>
      <c r="K8" s="79">
        <v>0</v>
      </c>
      <c r="L8" s="79">
        <v>0</v>
      </c>
      <c r="M8" s="79" t="s">
        <v>451</v>
      </c>
      <c r="N8" s="79" t="s">
        <v>452</v>
      </c>
      <c r="O8" s="79" t="s">
        <v>453</v>
      </c>
      <c r="P8" s="79" t="s">
        <v>453</v>
      </c>
      <c r="Q8" s="79" t="s">
        <v>453</v>
      </c>
    </row>
    <row r="9" spans="1:17" ht="26.4">
      <c r="A9" s="172">
        <f t="shared" si="0"/>
        <v>7</v>
      </c>
      <c r="B9" s="80" t="s">
        <v>469</v>
      </c>
      <c r="C9" s="80" t="s">
        <v>470</v>
      </c>
      <c r="F9" s="80" t="s">
        <v>447</v>
      </c>
      <c r="G9" s="80" t="s">
        <v>471</v>
      </c>
      <c r="H9" s="80" t="s">
        <v>449</v>
      </c>
      <c r="I9" s="80" t="s">
        <v>450</v>
      </c>
      <c r="J9" s="79">
        <v>2</v>
      </c>
      <c r="K9" s="79">
        <v>0</v>
      </c>
      <c r="L9" s="79">
        <v>0</v>
      </c>
      <c r="M9" s="79" t="s">
        <v>451</v>
      </c>
      <c r="N9" s="79" t="s">
        <v>452</v>
      </c>
      <c r="O9" s="79" t="s">
        <v>453</v>
      </c>
      <c r="P9" s="79" t="s">
        <v>453</v>
      </c>
      <c r="Q9" s="79" t="s">
        <v>453</v>
      </c>
    </row>
    <row r="10" spans="1:17" ht="26.4">
      <c r="A10" s="172">
        <f t="shared" si="0"/>
        <v>8</v>
      </c>
      <c r="B10" s="80" t="s">
        <v>472</v>
      </c>
      <c r="C10" s="80" t="s">
        <v>473</v>
      </c>
      <c r="F10" s="80" t="s">
        <v>447</v>
      </c>
      <c r="G10" s="80" t="s">
        <v>468</v>
      </c>
      <c r="H10" s="80" t="s">
        <v>118</v>
      </c>
      <c r="I10" s="80" t="s">
        <v>450</v>
      </c>
      <c r="J10" s="79">
        <v>1</v>
      </c>
      <c r="K10" s="79">
        <v>0</v>
      </c>
      <c r="L10" s="79">
        <v>0</v>
      </c>
      <c r="M10" s="79" t="s">
        <v>451</v>
      </c>
      <c r="N10" s="79" t="s">
        <v>452</v>
      </c>
      <c r="O10" s="79" t="s">
        <v>453</v>
      </c>
      <c r="P10" s="79" t="s">
        <v>453</v>
      </c>
      <c r="Q10" s="79" t="s">
        <v>453</v>
      </c>
    </row>
    <row r="11" spans="1:17">
      <c r="A11" s="172">
        <f t="shared" si="0"/>
        <v>9</v>
      </c>
      <c r="B11" s="80" t="s">
        <v>340</v>
      </c>
      <c r="C11" s="80" t="s">
        <v>474</v>
      </c>
      <c r="E11" s="116" t="s">
        <v>475</v>
      </c>
      <c r="F11" s="80" t="s">
        <v>447</v>
      </c>
      <c r="G11" s="80" t="s">
        <v>456</v>
      </c>
      <c r="H11" s="80" t="s">
        <v>476</v>
      </c>
      <c r="I11" s="80" t="s">
        <v>456</v>
      </c>
      <c r="J11" s="79">
        <v>3</v>
      </c>
      <c r="K11" s="79">
        <v>0</v>
      </c>
      <c r="L11" s="79">
        <v>0</v>
      </c>
      <c r="M11" s="79" t="s">
        <v>451</v>
      </c>
      <c r="N11" s="79" t="s">
        <v>452</v>
      </c>
      <c r="O11" s="79" t="s">
        <v>453</v>
      </c>
      <c r="P11" s="79" t="s">
        <v>453</v>
      </c>
      <c r="Q11" s="79" t="s">
        <v>453</v>
      </c>
    </row>
    <row r="12" spans="1:17" ht="48.75" customHeight="1">
      <c r="A12" s="172">
        <f t="shared" si="0"/>
        <v>10</v>
      </c>
      <c r="B12" s="80" t="s">
        <v>477</v>
      </c>
      <c r="C12" s="80" t="s">
        <v>478</v>
      </c>
      <c r="F12" s="80" t="s">
        <v>447</v>
      </c>
      <c r="G12" s="80" t="s">
        <v>468</v>
      </c>
      <c r="H12" s="80" t="s">
        <v>118</v>
      </c>
      <c r="I12" s="80" t="s">
        <v>450</v>
      </c>
      <c r="J12" s="79">
        <v>1</v>
      </c>
      <c r="K12" s="79">
        <v>0</v>
      </c>
      <c r="L12" s="79">
        <v>0</v>
      </c>
      <c r="M12" s="79" t="s">
        <v>451</v>
      </c>
      <c r="N12" s="79" t="s">
        <v>452</v>
      </c>
      <c r="O12" s="79" t="s">
        <v>453</v>
      </c>
      <c r="P12" s="79" t="s">
        <v>453</v>
      </c>
      <c r="Q12" s="79" t="s">
        <v>453</v>
      </c>
    </row>
    <row r="13" spans="1:17" ht="92.4">
      <c r="A13" s="172">
        <f t="shared" si="0"/>
        <v>11</v>
      </c>
      <c r="B13" s="80" t="s">
        <v>479</v>
      </c>
      <c r="C13" s="80" t="s">
        <v>480</v>
      </c>
      <c r="F13" s="80" t="s">
        <v>447</v>
      </c>
      <c r="G13" s="80" t="s">
        <v>481</v>
      </c>
      <c r="H13" s="80" t="s">
        <v>449</v>
      </c>
      <c r="I13" s="80" t="s">
        <v>450</v>
      </c>
      <c r="J13" s="79">
        <v>4</v>
      </c>
      <c r="K13" s="79">
        <v>0</v>
      </c>
      <c r="L13" s="79">
        <v>10</v>
      </c>
      <c r="M13" s="79" t="s">
        <v>451</v>
      </c>
      <c r="N13" s="79" t="s">
        <v>452</v>
      </c>
      <c r="O13" s="79" t="s">
        <v>453</v>
      </c>
      <c r="P13" s="79" t="s">
        <v>453</v>
      </c>
      <c r="Q13" s="79" t="s">
        <v>453</v>
      </c>
    </row>
    <row r="14" spans="1:17" ht="92.4">
      <c r="A14" s="172">
        <f t="shared" si="0"/>
        <v>12</v>
      </c>
      <c r="B14" s="80" t="s">
        <v>482</v>
      </c>
      <c r="C14" s="80" t="s">
        <v>483</v>
      </c>
      <c r="F14" s="80" t="s">
        <v>447</v>
      </c>
      <c r="G14" s="80" t="s">
        <v>481</v>
      </c>
      <c r="H14" s="80" t="s">
        <v>449</v>
      </c>
      <c r="I14" s="80" t="s">
        <v>450</v>
      </c>
      <c r="J14" s="79">
        <v>4</v>
      </c>
      <c r="K14" s="79">
        <v>0</v>
      </c>
      <c r="L14" s="79">
        <v>10</v>
      </c>
      <c r="M14" s="79" t="s">
        <v>451</v>
      </c>
      <c r="N14" s="79" t="s">
        <v>452</v>
      </c>
      <c r="O14" s="79" t="s">
        <v>453</v>
      </c>
      <c r="P14" s="79" t="s">
        <v>453</v>
      </c>
      <c r="Q14" s="79" t="s">
        <v>453</v>
      </c>
    </row>
    <row r="15" spans="1:17" ht="26.4">
      <c r="A15" s="172">
        <f t="shared" si="0"/>
        <v>13</v>
      </c>
      <c r="B15" s="80" t="s">
        <v>484</v>
      </c>
      <c r="C15" s="80" t="s">
        <v>485</v>
      </c>
      <c r="F15" s="80" t="s">
        <v>447</v>
      </c>
      <c r="H15" s="80" t="s">
        <v>449</v>
      </c>
      <c r="I15" s="80" t="s">
        <v>450</v>
      </c>
      <c r="J15" s="79">
        <v>4</v>
      </c>
      <c r="K15" s="79">
        <v>0</v>
      </c>
      <c r="L15" s="79">
        <v>10</v>
      </c>
      <c r="M15" s="79" t="s">
        <v>451</v>
      </c>
      <c r="N15" s="79" t="s">
        <v>452</v>
      </c>
      <c r="O15" s="79" t="s">
        <v>453</v>
      </c>
      <c r="P15" s="79" t="s">
        <v>453</v>
      </c>
      <c r="Q15" s="79" t="s">
        <v>453</v>
      </c>
    </row>
    <row r="16" spans="1:17" ht="26.4">
      <c r="A16" s="172">
        <f t="shared" si="0"/>
        <v>14</v>
      </c>
      <c r="B16" s="80" t="s">
        <v>486</v>
      </c>
      <c r="C16" s="80" t="s">
        <v>487</v>
      </c>
      <c r="F16" s="80" t="s">
        <v>447</v>
      </c>
      <c r="H16" s="80" t="s">
        <v>449</v>
      </c>
      <c r="I16" s="80" t="s">
        <v>450</v>
      </c>
      <c r="J16" s="79">
        <v>4</v>
      </c>
      <c r="K16" s="79">
        <v>0</v>
      </c>
      <c r="L16" s="79">
        <v>10</v>
      </c>
      <c r="M16" s="79" t="s">
        <v>451</v>
      </c>
      <c r="N16" s="79" t="s">
        <v>452</v>
      </c>
      <c r="O16" s="79" t="s">
        <v>453</v>
      </c>
      <c r="P16" s="79" t="s">
        <v>453</v>
      </c>
      <c r="Q16" s="79" t="s">
        <v>453</v>
      </c>
    </row>
    <row r="17" spans="1:17" ht="26.4">
      <c r="A17" s="172">
        <f t="shared" si="0"/>
        <v>15</v>
      </c>
      <c r="B17" s="80" t="s">
        <v>488</v>
      </c>
      <c r="C17" s="80" t="s">
        <v>489</v>
      </c>
      <c r="F17" s="80" t="s">
        <v>447</v>
      </c>
      <c r="H17" s="80" t="s">
        <v>449</v>
      </c>
      <c r="I17" s="80" t="s">
        <v>450</v>
      </c>
      <c r="J17" s="79">
        <v>4</v>
      </c>
      <c r="K17" s="79">
        <v>0</v>
      </c>
      <c r="L17" s="79">
        <v>10</v>
      </c>
      <c r="M17" s="79" t="s">
        <v>451</v>
      </c>
      <c r="N17" s="79" t="s">
        <v>452</v>
      </c>
      <c r="O17" s="79" t="s">
        <v>453</v>
      </c>
      <c r="P17" s="79" t="s">
        <v>453</v>
      </c>
      <c r="Q17" s="79" t="s">
        <v>453</v>
      </c>
    </row>
    <row r="18" spans="1:17" ht="26.4">
      <c r="A18" s="172">
        <f t="shared" si="0"/>
        <v>16</v>
      </c>
      <c r="B18" s="80" t="s">
        <v>490</v>
      </c>
      <c r="C18" s="80" t="s">
        <v>491</v>
      </c>
      <c r="F18" s="80" t="s">
        <v>447</v>
      </c>
      <c r="H18" s="80" t="s">
        <v>449</v>
      </c>
      <c r="I18" s="80" t="s">
        <v>450</v>
      </c>
      <c r="J18" s="79">
        <v>4</v>
      </c>
      <c r="K18" s="79">
        <v>0</v>
      </c>
      <c r="L18" s="79">
        <v>10</v>
      </c>
      <c r="M18" s="79" t="s">
        <v>451</v>
      </c>
      <c r="N18" s="79" t="s">
        <v>452</v>
      </c>
      <c r="O18" s="79" t="s">
        <v>453</v>
      </c>
      <c r="P18" s="79" t="s">
        <v>453</v>
      </c>
      <c r="Q18" s="79" t="s">
        <v>453</v>
      </c>
    </row>
    <row r="19" spans="1:17" ht="26.4">
      <c r="A19" s="172">
        <f t="shared" si="0"/>
        <v>17</v>
      </c>
      <c r="B19" s="80" t="s">
        <v>492</v>
      </c>
      <c r="C19" s="80" t="s">
        <v>493</v>
      </c>
      <c r="F19" s="80" t="s">
        <v>447</v>
      </c>
      <c r="H19" s="80" t="s">
        <v>449</v>
      </c>
      <c r="I19" s="80" t="s">
        <v>450</v>
      </c>
      <c r="J19" s="79">
        <v>4</v>
      </c>
      <c r="K19" s="79">
        <v>0</v>
      </c>
      <c r="L19" s="79">
        <v>10</v>
      </c>
      <c r="M19" s="79" t="s">
        <v>451</v>
      </c>
      <c r="N19" s="79" t="s">
        <v>452</v>
      </c>
      <c r="O19" s="79" t="s">
        <v>453</v>
      </c>
      <c r="P19" s="79" t="s">
        <v>453</v>
      </c>
      <c r="Q19" s="79" t="s">
        <v>453</v>
      </c>
    </row>
    <row r="20" spans="1:17">
      <c r="A20" s="172">
        <f t="shared" si="0"/>
        <v>18</v>
      </c>
      <c r="B20" s="80" t="s">
        <v>494</v>
      </c>
      <c r="C20" s="80" t="s">
        <v>495</v>
      </c>
      <c r="F20" s="80" t="s">
        <v>447</v>
      </c>
      <c r="G20" s="80" t="s">
        <v>468</v>
      </c>
      <c r="H20" s="80" t="s">
        <v>118</v>
      </c>
      <c r="I20" s="80" t="s">
        <v>450</v>
      </c>
      <c r="J20" s="79">
        <v>1</v>
      </c>
      <c r="K20" s="79">
        <v>0</v>
      </c>
      <c r="L20" s="79">
        <v>0</v>
      </c>
      <c r="M20" s="79" t="s">
        <v>451</v>
      </c>
      <c r="N20" s="79" t="s">
        <v>452</v>
      </c>
      <c r="O20" s="79" t="s">
        <v>453</v>
      </c>
      <c r="P20" s="79" t="s">
        <v>453</v>
      </c>
      <c r="Q20" s="79" t="s">
        <v>453</v>
      </c>
    </row>
    <row r="21" spans="1:17">
      <c r="A21" s="172">
        <f t="shared" ref="A21:A85" si="1">A20+1</f>
        <v>19</v>
      </c>
      <c r="B21" s="80" t="s">
        <v>496</v>
      </c>
      <c r="C21" s="80" t="s">
        <v>497</v>
      </c>
      <c r="D21" s="80" t="s">
        <v>496</v>
      </c>
      <c r="E21" s="116" t="s">
        <v>498</v>
      </c>
      <c r="F21" s="80" t="s">
        <v>447</v>
      </c>
      <c r="G21" s="80" t="s">
        <v>468</v>
      </c>
      <c r="H21" s="80" t="s">
        <v>118</v>
      </c>
      <c r="I21" s="80" t="s">
        <v>450</v>
      </c>
      <c r="J21" s="79">
        <v>1</v>
      </c>
      <c r="K21" s="79">
        <v>0</v>
      </c>
      <c r="L21" s="79">
        <v>0</v>
      </c>
      <c r="M21" s="79" t="s">
        <v>451</v>
      </c>
      <c r="N21" s="79" t="s">
        <v>452</v>
      </c>
      <c r="O21" s="79" t="s">
        <v>453</v>
      </c>
      <c r="P21" s="79" t="s">
        <v>453</v>
      </c>
      <c r="Q21" s="79" t="s">
        <v>453</v>
      </c>
    </row>
    <row r="22" spans="1:17">
      <c r="A22" s="172">
        <f t="shared" si="1"/>
        <v>20</v>
      </c>
      <c r="B22" s="80" t="s">
        <v>499</v>
      </c>
      <c r="C22" s="80" t="s">
        <v>500</v>
      </c>
      <c r="F22" s="80" t="s">
        <v>447</v>
      </c>
      <c r="G22" s="80" t="s">
        <v>468</v>
      </c>
      <c r="H22" s="80" t="s">
        <v>118</v>
      </c>
      <c r="I22" s="80" t="s">
        <v>450</v>
      </c>
      <c r="J22" s="79">
        <v>1</v>
      </c>
      <c r="K22" s="79">
        <v>0</v>
      </c>
      <c r="L22" s="79">
        <v>0</v>
      </c>
      <c r="M22" s="79" t="s">
        <v>451</v>
      </c>
      <c r="N22" s="79" t="s">
        <v>452</v>
      </c>
      <c r="O22" s="79" t="s">
        <v>453</v>
      </c>
      <c r="P22" s="79" t="s">
        <v>453</v>
      </c>
      <c r="Q22" s="79" t="s">
        <v>453</v>
      </c>
    </row>
    <row r="23" spans="1:17">
      <c r="A23" s="172">
        <f t="shared" si="1"/>
        <v>21</v>
      </c>
      <c r="B23" s="80" t="s">
        <v>501</v>
      </c>
      <c r="C23" s="80" t="s">
        <v>502</v>
      </c>
      <c r="F23" s="80" t="s">
        <v>503</v>
      </c>
      <c r="G23" s="80" t="s">
        <v>468</v>
      </c>
      <c r="H23" s="80" t="s">
        <v>118</v>
      </c>
      <c r="I23" s="80" t="s">
        <v>450</v>
      </c>
      <c r="J23" s="79">
        <v>1</v>
      </c>
      <c r="K23" s="79">
        <v>0</v>
      </c>
      <c r="L23" s="79">
        <v>0</v>
      </c>
      <c r="M23" s="79" t="s">
        <v>451</v>
      </c>
      <c r="N23" s="79" t="s">
        <v>452</v>
      </c>
      <c r="O23" s="79" t="s">
        <v>453</v>
      </c>
      <c r="P23" s="79" t="s">
        <v>453</v>
      </c>
      <c r="Q23" s="79" t="s">
        <v>453</v>
      </c>
    </row>
    <row r="24" spans="1:17">
      <c r="A24" s="172">
        <f t="shared" si="1"/>
        <v>22</v>
      </c>
      <c r="B24" s="80" t="s">
        <v>504</v>
      </c>
      <c r="C24" s="80" t="s">
        <v>505</v>
      </c>
      <c r="F24" s="80" t="s">
        <v>503</v>
      </c>
      <c r="G24" s="80" t="s">
        <v>468</v>
      </c>
      <c r="H24" s="80" t="s">
        <v>118</v>
      </c>
      <c r="I24" s="80" t="s">
        <v>450</v>
      </c>
      <c r="J24" s="79">
        <v>1</v>
      </c>
      <c r="K24" s="79">
        <v>0</v>
      </c>
      <c r="L24" s="79">
        <v>0</v>
      </c>
      <c r="M24" s="79" t="s">
        <v>451</v>
      </c>
      <c r="N24" s="79" t="s">
        <v>452</v>
      </c>
      <c r="O24" s="79" t="s">
        <v>453</v>
      </c>
      <c r="P24" s="79" t="s">
        <v>453</v>
      </c>
      <c r="Q24" s="79" t="s">
        <v>453</v>
      </c>
    </row>
    <row r="25" spans="1:17">
      <c r="A25" s="172">
        <f t="shared" si="1"/>
        <v>23</v>
      </c>
      <c r="B25" s="80" t="s">
        <v>506</v>
      </c>
      <c r="C25" s="80" t="s">
        <v>507</v>
      </c>
      <c r="F25" s="80" t="s">
        <v>503</v>
      </c>
      <c r="G25" s="80" t="s">
        <v>468</v>
      </c>
      <c r="H25" s="80" t="s">
        <v>118</v>
      </c>
      <c r="I25" s="80" t="s">
        <v>450</v>
      </c>
      <c r="J25" s="79">
        <v>1</v>
      </c>
      <c r="K25" s="79">
        <v>0</v>
      </c>
      <c r="L25" s="79">
        <v>0</v>
      </c>
      <c r="M25" s="79" t="s">
        <v>451</v>
      </c>
      <c r="N25" s="79" t="s">
        <v>452</v>
      </c>
      <c r="O25" s="79" t="s">
        <v>453</v>
      </c>
      <c r="P25" s="79" t="s">
        <v>453</v>
      </c>
      <c r="Q25" s="79" t="s">
        <v>453</v>
      </c>
    </row>
    <row r="26" spans="1:17">
      <c r="A26" s="172">
        <f t="shared" si="1"/>
        <v>24</v>
      </c>
      <c r="B26" s="80" t="s">
        <v>508</v>
      </c>
      <c r="C26" s="80" t="s">
        <v>509</v>
      </c>
      <c r="F26" s="80" t="s">
        <v>503</v>
      </c>
      <c r="G26" s="80" t="s">
        <v>468</v>
      </c>
      <c r="H26" s="80" t="s">
        <v>118</v>
      </c>
      <c r="I26" s="80" t="s">
        <v>450</v>
      </c>
      <c r="J26" s="79">
        <v>1</v>
      </c>
      <c r="K26" s="79">
        <v>0</v>
      </c>
      <c r="L26" s="79">
        <v>0</v>
      </c>
      <c r="M26" s="79" t="s">
        <v>451</v>
      </c>
      <c r="N26" s="79" t="s">
        <v>452</v>
      </c>
      <c r="O26" s="79" t="s">
        <v>453</v>
      </c>
      <c r="P26" s="79" t="s">
        <v>453</v>
      </c>
      <c r="Q26" s="79" t="s">
        <v>453</v>
      </c>
    </row>
    <row r="27" spans="1:17" ht="41.1" customHeight="1">
      <c r="A27" s="172">
        <f t="shared" si="1"/>
        <v>25</v>
      </c>
      <c r="B27" s="80" t="s">
        <v>510</v>
      </c>
      <c r="C27" s="80" t="s">
        <v>511</v>
      </c>
      <c r="D27" s="80" t="s">
        <v>510</v>
      </c>
      <c r="E27" s="116" t="s">
        <v>512</v>
      </c>
      <c r="F27" s="116" t="s">
        <v>513</v>
      </c>
      <c r="G27" s="80" t="s">
        <v>456</v>
      </c>
      <c r="H27" s="80">
        <v>0</v>
      </c>
      <c r="I27" s="80" t="s">
        <v>456</v>
      </c>
      <c r="J27" s="79">
        <v>3</v>
      </c>
      <c r="K27" s="79">
        <v>0</v>
      </c>
      <c r="L27" s="79">
        <v>0</v>
      </c>
      <c r="M27" s="79" t="s">
        <v>514</v>
      </c>
      <c r="N27" s="79" t="s">
        <v>452</v>
      </c>
      <c r="O27" s="79" t="s">
        <v>452</v>
      </c>
      <c r="P27" s="79" t="s">
        <v>452</v>
      </c>
      <c r="Q27" s="79" t="s">
        <v>452</v>
      </c>
    </row>
    <row r="28" spans="1:17" ht="26.4">
      <c r="A28" s="172">
        <f t="shared" si="1"/>
        <v>26</v>
      </c>
      <c r="B28" s="80" t="s">
        <v>515</v>
      </c>
      <c r="C28" s="80" t="s">
        <v>511</v>
      </c>
      <c r="D28" s="80" t="s">
        <v>515</v>
      </c>
      <c r="E28" s="116" t="s">
        <v>516</v>
      </c>
      <c r="F28" s="116" t="s">
        <v>513</v>
      </c>
      <c r="G28" s="80" t="s">
        <v>456</v>
      </c>
      <c r="H28" s="80">
        <v>0</v>
      </c>
      <c r="I28" s="80" t="s">
        <v>456</v>
      </c>
      <c r="J28" s="79">
        <v>12</v>
      </c>
      <c r="K28" s="79">
        <v>2</v>
      </c>
      <c r="L28" s="79">
        <v>0</v>
      </c>
      <c r="M28" s="79" t="s">
        <v>514</v>
      </c>
      <c r="N28" s="79" t="s">
        <v>452</v>
      </c>
      <c r="O28" s="79" t="s">
        <v>452</v>
      </c>
      <c r="P28" s="79" t="s">
        <v>452</v>
      </c>
      <c r="Q28" s="79" t="s">
        <v>452</v>
      </c>
    </row>
    <row r="29" spans="1:17">
      <c r="A29" s="172">
        <f t="shared" si="1"/>
        <v>27</v>
      </c>
      <c r="B29" s="80" t="s">
        <v>517</v>
      </c>
      <c r="C29" s="80" t="s">
        <v>518</v>
      </c>
      <c r="E29" s="116" t="s">
        <v>519</v>
      </c>
      <c r="F29" s="80" t="s">
        <v>503</v>
      </c>
      <c r="G29" s="80" t="s">
        <v>468</v>
      </c>
      <c r="H29" s="80" t="s">
        <v>118</v>
      </c>
      <c r="I29" s="80" t="s">
        <v>450</v>
      </c>
      <c r="J29" s="79">
        <v>1</v>
      </c>
      <c r="K29" s="79">
        <v>0</v>
      </c>
      <c r="L29" s="79">
        <v>0</v>
      </c>
      <c r="M29" s="79" t="s">
        <v>451</v>
      </c>
      <c r="N29" s="79" t="s">
        <v>452</v>
      </c>
      <c r="O29" s="79" t="s">
        <v>453</v>
      </c>
      <c r="P29" s="79" t="s">
        <v>453</v>
      </c>
      <c r="Q29" s="79" t="s">
        <v>453</v>
      </c>
    </row>
    <row r="30" spans="1:17">
      <c r="A30" s="172">
        <f t="shared" si="1"/>
        <v>28</v>
      </c>
      <c r="B30" s="80" t="s">
        <v>520</v>
      </c>
      <c r="C30" s="80" t="s">
        <v>521</v>
      </c>
      <c r="E30" s="116" t="s">
        <v>522</v>
      </c>
      <c r="F30" s="80" t="s">
        <v>503</v>
      </c>
      <c r="G30" s="80" t="s">
        <v>468</v>
      </c>
      <c r="H30" s="80" t="s">
        <v>118</v>
      </c>
      <c r="I30" s="80" t="s">
        <v>450</v>
      </c>
      <c r="J30" s="79">
        <v>1</v>
      </c>
      <c r="K30" s="79">
        <v>0</v>
      </c>
      <c r="L30" s="79">
        <v>0</v>
      </c>
      <c r="M30" s="79" t="s">
        <v>451</v>
      </c>
      <c r="N30" s="79" t="s">
        <v>452</v>
      </c>
      <c r="O30" s="79" t="s">
        <v>453</v>
      </c>
      <c r="P30" s="79" t="s">
        <v>453</v>
      </c>
      <c r="Q30" s="79" t="s">
        <v>453</v>
      </c>
    </row>
    <row r="31" spans="1:17" ht="26.4">
      <c r="A31" s="172">
        <f>A29+1</f>
        <v>28</v>
      </c>
      <c r="B31" s="80" t="s">
        <v>523</v>
      </c>
      <c r="C31" s="80" t="s">
        <v>511</v>
      </c>
      <c r="D31" s="80" t="s">
        <v>523</v>
      </c>
      <c r="E31" s="116" t="s">
        <v>524</v>
      </c>
      <c r="F31" s="116" t="s">
        <v>513</v>
      </c>
      <c r="G31" s="80" t="s">
        <v>456</v>
      </c>
      <c r="H31" s="80">
        <v>0</v>
      </c>
      <c r="I31" s="80" t="s">
        <v>456</v>
      </c>
      <c r="J31" s="79">
        <v>12</v>
      </c>
      <c r="K31" s="79">
        <v>2</v>
      </c>
      <c r="L31" s="79">
        <v>0</v>
      </c>
      <c r="M31" s="79" t="s">
        <v>514</v>
      </c>
      <c r="N31" s="79" t="s">
        <v>452</v>
      </c>
      <c r="O31" s="79" t="s">
        <v>452</v>
      </c>
      <c r="P31" s="79" t="s">
        <v>452</v>
      </c>
      <c r="Q31" s="79" t="s">
        <v>452</v>
      </c>
    </row>
    <row r="32" spans="1:17">
      <c r="A32" s="172">
        <f t="shared" si="1"/>
        <v>29</v>
      </c>
      <c r="B32" s="80" t="s">
        <v>525</v>
      </c>
      <c r="C32" s="80" t="s">
        <v>526</v>
      </c>
      <c r="F32" s="80" t="s">
        <v>503</v>
      </c>
      <c r="H32" s="80" t="s">
        <v>449</v>
      </c>
      <c r="I32" s="80" t="s">
        <v>450</v>
      </c>
      <c r="J32" s="79">
        <v>2</v>
      </c>
      <c r="K32" s="79">
        <v>0</v>
      </c>
      <c r="L32" s="79">
        <v>0</v>
      </c>
      <c r="M32" s="79" t="s">
        <v>451</v>
      </c>
      <c r="N32" s="79" t="s">
        <v>452</v>
      </c>
      <c r="O32" s="79" t="s">
        <v>453</v>
      </c>
      <c r="P32" s="79" t="s">
        <v>453</v>
      </c>
      <c r="Q32" s="79" t="s">
        <v>453</v>
      </c>
    </row>
    <row r="33" spans="1:17">
      <c r="A33" s="172">
        <f t="shared" si="1"/>
        <v>30</v>
      </c>
      <c r="B33" s="80" t="s">
        <v>527</v>
      </c>
      <c r="C33" s="80" t="s">
        <v>528</v>
      </c>
      <c r="E33" s="116" t="s">
        <v>529</v>
      </c>
      <c r="F33" s="80" t="s">
        <v>503</v>
      </c>
      <c r="G33" s="80" t="s">
        <v>456</v>
      </c>
      <c r="H33" s="80">
        <v>0</v>
      </c>
      <c r="I33" s="80" t="s">
        <v>456</v>
      </c>
      <c r="J33" s="79">
        <v>10</v>
      </c>
      <c r="K33" s="79">
        <v>0</v>
      </c>
      <c r="L33" s="79">
        <v>0</v>
      </c>
      <c r="M33" s="79" t="s">
        <v>451</v>
      </c>
      <c r="N33" s="79" t="s">
        <v>452</v>
      </c>
      <c r="O33" s="79" t="s">
        <v>453</v>
      </c>
      <c r="P33" s="79" t="s">
        <v>453</v>
      </c>
      <c r="Q33" s="79" t="s">
        <v>453</v>
      </c>
    </row>
    <row r="34" spans="1:17">
      <c r="A34" s="172">
        <f t="shared" si="1"/>
        <v>31</v>
      </c>
      <c r="B34" s="80" t="s">
        <v>530</v>
      </c>
      <c r="C34" s="80" t="s">
        <v>531</v>
      </c>
      <c r="F34" s="80" t="s">
        <v>503</v>
      </c>
      <c r="H34" s="80" t="s">
        <v>449</v>
      </c>
      <c r="I34" s="80" t="s">
        <v>450</v>
      </c>
      <c r="J34" s="79">
        <v>2</v>
      </c>
      <c r="K34" s="79">
        <v>0</v>
      </c>
      <c r="L34" s="79">
        <v>0</v>
      </c>
      <c r="M34" s="79" t="s">
        <v>451</v>
      </c>
      <c r="N34" s="79" t="s">
        <v>452</v>
      </c>
      <c r="O34" s="79" t="s">
        <v>453</v>
      </c>
      <c r="P34" s="79" t="s">
        <v>453</v>
      </c>
      <c r="Q34" s="79" t="s">
        <v>453</v>
      </c>
    </row>
    <row r="35" spans="1:17">
      <c r="A35" s="172">
        <f t="shared" si="1"/>
        <v>32</v>
      </c>
      <c r="B35" s="80" t="s">
        <v>532</v>
      </c>
      <c r="C35" s="80" t="s">
        <v>533</v>
      </c>
      <c r="F35" s="80" t="s">
        <v>503</v>
      </c>
      <c r="G35" s="80" t="s">
        <v>459</v>
      </c>
      <c r="H35" s="80" t="s">
        <v>449</v>
      </c>
      <c r="I35" s="80" t="s">
        <v>450</v>
      </c>
      <c r="J35" s="79">
        <v>1</v>
      </c>
      <c r="K35" s="79">
        <v>0</v>
      </c>
      <c r="L35" s="79">
        <v>0</v>
      </c>
      <c r="M35" s="79" t="s">
        <v>451</v>
      </c>
      <c r="N35" s="79" t="s">
        <v>452</v>
      </c>
      <c r="O35" s="79" t="s">
        <v>453</v>
      </c>
      <c r="P35" s="79" t="s">
        <v>453</v>
      </c>
      <c r="Q35" s="79" t="s">
        <v>453</v>
      </c>
    </row>
    <row r="36" spans="1:17">
      <c r="A36" s="172">
        <f t="shared" si="1"/>
        <v>33</v>
      </c>
      <c r="B36" s="80" t="s">
        <v>534</v>
      </c>
      <c r="C36" s="80" t="s">
        <v>535</v>
      </c>
      <c r="F36" s="80" t="s">
        <v>503</v>
      </c>
      <c r="G36" s="80" t="s">
        <v>456</v>
      </c>
      <c r="H36" s="80">
        <v>0</v>
      </c>
      <c r="I36" s="80" t="s">
        <v>456</v>
      </c>
      <c r="J36" s="79">
        <v>3</v>
      </c>
      <c r="K36" s="79">
        <v>0</v>
      </c>
      <c r="L36" s="79">
        <v>0</v>
      </c>
      <c r="M36" s="79" t="s">
        <v>451</v>
      </c>
      <c r="N36" s="79" t="s">
        <v>452</v>
      </c>
      <c r="O36" s="79" t="s">
        <v>453</v>
      </c>
      <c r="P36" s="79" t="s">
        <v>453</v>
      </c>
      <c r="Q36" s="79" t="s">
        <v>453</v>
      </c>
    </row>
    <row r="37" spans="1:17">
      <c r="A37" s="172">
        <f t="shared" si="1"/>
        <v>34</v>
      </c>
      <c r="B37" s="80" t="s">
        <v>536</v>
      </c>
      <c r="C37" s="80" t="s">
        <v>511</v>
      </c>
      <c r="D37" s="80" t="s">
        <v>536</v>
      </c>
      <c r="E37" s="116" t="s">
        <v>537</v>
      </c>
      <c r="F37" s="116" t="s">
        <v>513</v>
      </c>
      <c r="G37" s="80" t="s">
        <v>456</v>
      </c>
      <c r="H37" s="80">
        <v>0</v>
      </c>
      <c r="I37" s="80" t="s">
        <v>456</v>
      </c>
      <c r="J37" s="79">
        <v>3</v>
      </c>
      <c r="K37" s="79">
        <v>2</v>
      </c>
      <c r="L37" s="79">
        <v>0</v>
      </c>
      <c r="M37" s="79" t="s">
        <v>514</v>
      </c>
      <c r="N37" s="79" t="s">
        <v>452</v>
      </c>
      <c r="O37" s="79" t="s">
        <v>452</v>
      </c>
      <c r="P37" s="79" t="s">
        <v>452</v>
      </c>
      <c r="Q37" s="79" t="s">
        <v>452</v>
      </c>
    </row>
    <row r="38" spans="1:17">
      <c r="A38" s="172">
        <f t="shared" si="1"/>
        <v>35</v>
      </c>
      <c r="B38" s="80" t="s">
        <v>538</v>
      </c>
      <c r="C38" s="80" t="s">
        <v>539</v>
      </c>
      <c r="F38" s="80" t="s">
        <v>503</v>
      </c>
      <c r="G38" s="80" t="s">
        <v>459</v>
      </c>
      <c r="H38" s="80" t="s">
        <v>449</v>
      </c>
      <c r="I38" s="80" t="s">
        <v>450</v>
      </c>
      <c r="J38" s="79">
        <v>2</v>
      </c>
      <c r="K38" s="79">
        <v>0</v>
      </c>
      <c r="L38" s="79">
        <v>0</v>
      </c>
      <c r="M38" s="79" t="s">
        <v>451</v>
      </c>
      <c r="N38" s="79" t="s">
        <v>452</v>
      </c>
      <c r="O38" s="79" t="s">
        <v>453</v>
      </c>
      <c r="P38" s="79" t="s">
        <v>453</v>
      </c>
      <c r="Q38" s="79" t="s">
        <v>453</v>
      </c>
    </row>
    <row r="39" spans="1:17">
      <c r="A39" s="172">
        <f t="shared" si="1"/>
        <v>36</v>
      </c>
      <c r="B39" s="80" t="s">
        <v>540</v>
      </c>
      <c r="C39" s="80" t="s">
        <v>541</v>
      </c>
      <c r="F39" s="80" t="s">
        <v>503</v>
      </c>
      <c r="G39" s="80" t="s">
        <v>456</v>
      </c>
      <c r="H39" s="80">
        <v>0</v>
      </c>
      <c r="I39" s="80" t="s">
        <v>450</v>
      </c>
      <c r="J39" s="79">
        <v>10</v>
      </c>
      <c r="K39" s="79">
        <v>0</v>
      </c>
      <c r="L39" s="79">
        <v>0</v>
      </c>
      <c r="M39" s="79" t="s">
        <v>451</v>
      </c>
      <c r="N39" s="79" t="s">
        <v>452</v>
      </c>
      <c r="O39" s="79" t="s">
        <v>453</v>
      </c>
      <c r="P39" s="79" t="s">
        <v>453</v>
      </c>
      <c r="Q39" s="79" t="s">
        <v>453</v>
      </c>
    </row>
    <row r="40" spans="1:17">
      <c r="A40" s="172">
        <f t="shared" si="1"/>
        <v>37</v>
      </c>
      <c r="B40" s="80" t="s">
        <v>542</v>
      </c>
      <c r="C40" s="80" t="s">
        <v>543</v>
      </c>
      <c r="F40" s="80" t="s">
        <v>503</v>
      </c>
      <c r="G40" s="80" t="s">
        <v>456</v>
      </c>
      <c r="H40" s="80">
        <v>0</v>
      </c>
      <c r="I40" s="80" t="s">
        <v>450</v>
      </c>
      <c r="J40" s="79">
        <v>10</v>
      </c>
      <c r="K40" s="79">
        <v>0</v>
      </c>
      <c r="L40" s="79">
        <v>0</v>
      </c>
      <c r="M40" s="79" t="s">
        <v>451</v>
      </c>
      <c r="N40" s="79" t="s">
        <v>452</v>
      </c>
      <c r="O40" s="79" t="s">
        <v>453</v>
      </c>
      <c r="P40" s="79" t="s">
        <v>453</v>
      </c>
      <c r="Q40" s="79" t="s">
        <v>453</v>
      </c>
    </row>
    <row r="41" spans="1:17">
      <c r="A41" s="172">
        <f t="shared" si="1"/>
        <v>38</v>
      </c>
      <c r="B41" s="80" t="s">
        <v>544</v>
      </c>
      <c r="C41" s="80" t="s">
        <v>545</v>
      </c>
      <c r="F41" s="80" t="s">
        <v>503</v>
      </c>
      <c r="G41" s="80" t="s">
        <v>459</v>
      </c>
      <c r="H41" s="80" t="s">
        <v>449</v>
      </c>
      <c r="I41" s="80" t="s">
        <v>450</v>
      </c>
      <c r="J41" s="79">
        <v>3</v>
      </c>
      <c r="K41" s="79">
        <v>0</v>
      </c>
      <c r="L41" s="79">
        <v>0</v>
      </c>
      <c r="M41" s="79" t="s">
        <v>451</v>
      </c>
      <c r="N41" s="79" t="s">
        <v>452</v>
      </c>
      <c r="O41" s="79" t="s">
        <v>453</v>
      </c>
      <c r="P41" s="79" t="s">
        <v>453</v>
      </c>
      <c r="Q41" s="79" t="s">
        <v>453</v>
      </c>
    </row>
    <row r="42" spans="1:17">
      <c r="A42" s="172">
        <f t="shared" si="1"/>
        <v>39</v>
      </c>
      <c r="B42" s="80" t="s">
        <v>546</v>
      </c>
      <c r="C42" s="80" t="s">
        <v>547</v>
      </c>
      <c r="F42" s="80" t="s">
        <v>503</v>
      </c>
      <c r="G42" s="80" t="s">
        <v>459</v>
      </c>
      <c r="H42" s="80" t="s">
        <v>449</v>
      </c>
      <c r="I42" s="80" t="s">
        <v>450</v>
      </c>
      <c r="J42" s="79">
        <v>2</v>
      </c>
      <c r="K42" s="79">
        <v>0</v>
      </c>
      <c r="L42" s="79">
        <v>0</v>
      </c>
      <c r="M42" s="79" t="s">
        <v>451</v>
      </c>
      <c r="N42" s="79" t="s">
        <v>452</v>
      </c>
      <c r="O42" s="79" t="s">
        <v>453</v>
      </c>
      <c r="P42" s="79" t="s">
        <v>453</v>
      </c>
      <c r="Q42" s="79" t="s">
        <v>453</v>
      </c>
    </row>
    <row r="43" spans="1:17">
      <c r="A43" s="172">
        <f t="shared" si="1"/>
        <v>40</v>
      </c>
      <c r="B43" s="80" t="s">
        <v>548</v>
      </c>
      <c r="C43" s="80" t="s">
        <v>549</v>
      </c>
      <c r="E43" s="116" t="s">
        <v>209</v>
      </c>
      <c r="F43" s="80" t="s">
        <v>503</v>
      </c>
      <c r="G43" s="80" t="s">
        <v>459</v>
      </c>
      <c r="H43" s="80" t="s">
        <v>449</v>
      </c>
      <c r="I43" s="80" t="s">
        <v>450</v>
      </c>
      <c r="J43" s="79">
        <v>1</v>
      </c>
      <c r="K43" s="79">
        <v>0</v>
      </c>
      <c r="L43" s="79">
        <v>0</v>
      </c>
      <c r="M43" s="79" t="s">
        <v>451</v>
      </c>
      <c r="N43" s="79" t="s">
        <v>452</v>
      </c>
      <c r="O43" s="79" t="s">
        <v>453</v>
      </c>
      <c r="P43" s="79" t="s">
        <v>453</v>
      </c>
      <c r="Q43" s="79" t="s">
        <v>453</v>
      </c>
    </row>
    <row r="44" spans="1:17" ht="26.4">
      <c r="A44" s="172">
        <f t="shared" si="1"/>
        <v>41</v>
      </c>
      <c r="B44" s="80" t="s">
        <v>550</v>
      </c>
      <c r="C44" s="80" t="s">
        <v>511</v>
      </c>
      <c r="D44" s="80" t="s">
        <v>550</v>
      </c>
      <c r="E44" s="116" t="s">
        <v>551</v>
      </c>
      <c r="F44" s="116" t="s">
        <v>513</v>
      </c>
      <c r="G44" s="80" t="s">
        <v>456</v>
      </c>
      <c r="H44" s="80">
        <v>0</v>
      </c>
      <c r="I44" s="80" t="s">
        <v>456</v>
      </c>
      <c r="J44" s="79">
        <v>12</v>
      </c>
      <c r="K44" s="79">
        <v>0</v>
      </c>
      <c r="L44" s="79">
        <v>0</v>
      </c>
      <c r="M44" s="79" t="s">
        <v>514</v>
      </c>
      <c r="N44" s="79" t="s">
        <v>452</v>
      </c>
      <c r="O44" s="79" t="s">
        <v>452</v>
      </c>
      <c r="P44" s="79" t="s">
        <v>452</v>
      </c>
      <c r="Q44" s="79" t="s">
        <v>452</v>
      </c>
    </row>
    <row r="45" spans="1:17">
      <c r="A45" s="172">
        <f t="shared" si="1"/>
        <v>42</v>
      </c>
      <c r="B45" s="80" t="s">
        <v>552</v>
      </c>
      <c r="C45" s="80" t="s">
        <v>553</v>
      </c>
      <c r="F45" s="80" t="s">
        <v>503</v>
      </c>
      <c r="G45" s="80" t="s">
        <v>456</v>
      </c>
      <c r="H45" s="80">
        <v>0</v>
      </c>
      <c r="I45" s="80" t="s">
        <v>456</v>
      </c>
      <c r="J45" s="79">
        <v>4</v>
      </c>
      <c r="K45" s="79">
        <v>0</v>
      </c>
      <c r="L45" s="79">
        <v>0</v>
      </c>
      <c r="M45" s="79" t="s">
        <v>451</v>
      </c>
      <c r="N45" s="79" t="s">
        <v>452</v>
      </c>
      <c r="O45" s="79" t="s">
        <v>453</v>
      </c>
      <c r="P45" s="79" t="s">
        <v>453</v>
      </c>
      <c r="Q45" s="79" t="s">
        <v>453</v>
      </c>
    </row>
    <row r="46" spans="1:17">
      <c r="A46" s="172">
        <f t="shared" si="1"/>
        <v>43</v>
      </c>
      <c r="B46" s="80" t="s">
        <v>554</v>
      </c>
      <c r="C46" s="80" t="s">
        <v>555</v>
      </c>
      <c r="F46" s="80" t="s">
        <v>503</v>
      </c>
      <c r="G46" s="80" t="s">
        <v>456</v>
      </c>
      <c r="H46" s="80">
        <v>0</v>
      </c>
      <c r="I46" s="80" t="s">
        <v>456</v>
      </c>
      <c r="J46" s="79">
        <v>4</v>
      </c>
      <c r="K46" s="79">
        <v>0</v>
      </c>
      <c r="L46" s="79">
        <v>0</v>
      </c>
      <c r="M46" s="79" t="s">
        <v>451</v>
      </c>
      <c r="N46" s="79" t="s">
        <v>452</v>
      </c>
      <c r="O46" s="79" t="s">
        <v>453</v>
      </c>
      <c r="P46" s="79" t="s">
        <v>453</v>
      </c>
      <c r="Q46" s="79" t="s">
        <v>453</v>
      </c>
    </row>
    <row r="47" spans="1:17">
      <c r="A47" s="172">
        <f t="shared" si="1"/>
        <v>44</v>
      </c>
      <c r="B47" s="80" t="s">
        <v>556</v>
      </c>
      <c r="C47" s="80" t="s">
        <v>557</v>
      </c>
      <c r="D47" s="80" t="s">
        <v>556</v>
      </c>
      <c r="E47" s="116" t="s">
        <v>558</v>
      </c>
      <c r="F47" s="116" t="s">
        <v>513</v>
      </c>
      <c r="G47" s="80" t="s">
        <v>456</v>
      </c>
      <c r="H47" s="80">
        <v>0</v>
      </c>
      <c r="I47" s="80" t="s">
        <v>456</v>
      </c>
      <c r="J47" s="79">
        <v>3</v>
      </c>
      <c r="K47" s="79">
        <v>2</v>
      </c>
      <c r="L47" s="79">
        <v>0</v>
      </c>
      <c r="M47" s="79" t="s">
        <v>514</v>
      </c>
      <c r="N47" s="79" t="s">
        <v>452</v>
      </c>
      <c r="O47" s="79" t="s">
        <v>452</v>
      </c>
      <c r="P47" s="79" t="s">
        <v>452</v>
      </c>
      <c r="Q47" s="79" t="s">
        <v>452</v>
      </c>
    </row>
    <row r="48" spans="1:17">
      <c r="A48" s="172">
        <f t="shared" si="1"/>
        <v>45</v>
      </c>
      <c r="B48" s="80" t="s">
        <v>559</v>
      </c>
      <c r="C48" s="80" t="s">
        <v>560</v>
      </c>
      <c r="F48" s="80" t="s">
        <v>503</v>
      </c>
      <c r="G48" s="80" t="s">
        <v>459</v>
      </c>
      <c r="H48" s="80" t="s">
        <v>449</v>
      </c>
      <c r="I48" s="80" t="s">
        <v>450</v>
      </c>
      <c r="J48" s="79">
        <v>1</v>
      </c>
      <c r="K48" s="79">
        <v>0</v>
      </c>
      <c r="L48" s="79">
        <v>0</v>
      </c>
      <c r="M48" s="79" t="s">
        <v>451</v>
      </c>
      <c r="N48" s="79" t="s">
        <v>452</v>
      </c>
      <c r="O48" s="79" t="s">
        <v>453</v>
      </c>
      <c r="P48" s="79" t="s">
        <v>453</v>
      </c>
      <c r="Q48" s="79" t="s">
        <v>453</v>
      </c>
    </row>
    <row r="49" spans="1:17">
      <c r="A49" s="172">
        <f t="shared" si="1"/>
        <v>46</v>
      </c>
      <c r="B49" s="80" t="s">
        <v>561</v>
      </c>
      <c r="C49" s="80" t="s">
        <v>562</v>
      </c>
      <c r="F49" s="80" t="s">
        <v>503</v>
      </c>
      <c r="G49" s="80" t="s">
        <v>459</v>
      </c>
      <c r="H49" s="80" t="s">
        <v>449</v>
      </c>
      <c r="I49" s="80" t="s">
        <v>450</v>
      </c>
      <c r="J49" s="79">
        <v>3</v>
      </c>
      <c r="K49" s="79">
        <v>0</v>
      </c>
      <c r="L49" s="79">
        <v>0</v>
      </c>
      <c r="M49" s="79" t="s">
        <v>451</v>
      </c>
      <c r="N49" s="79" t="s">
        <v>452</v>
      </c>
      <c r="O49" s="79" t="s">
        <v>453</v>
      </c>
      <c r="P49" s="79" t="s">
        <v>453</v>
      </c>
      <c r="Q49" s="79" t="s">
        <v>453</v>
      </c>
    </row>
    <row r="50" spans="1:17">
      <c r="A50" s="172">
        <f t="shared" si="1"/>
        <v>47</v>
      </c>
      <c r="B50" s="80" t="s">
        <v>563</v>
      </c>
      <c r="C50" s="80" t="s">
        <v>564</v>
      </c>
      <c r="F50" s="80" t="s">
        <v>503</v>
      </c>
      <c r="G50" s="80" t="s">
        <v>459</v>
      </c>
      <c r="H50" s="80" t="s">
        <v>449</v>
      </c>
      <c r="I50" s="80" t="s">
        <v>450</v>
      </c>
      <c r="J50" s="79">
        <v>2</v>
      </c>
      <c r="K50" s="79">
        <v>0</v>
      </c>
      <c r="L50" s="79">
        <v>0</v>
      </c>
      <c r="M50" s="79" t="s">
        <v>451</v>
      </c>
      <c r="N50" s="79" t="s">
        <v>452</v>
      </c>
      <c r="O50" s="79" t="s">
        <v>453</v>
      </c>
      <c r="P50" s="79" t="s">
        <v>453</v>
      </c>
      <c r="Q50" s="79" t="s">
        <v>453</v>
      </c>
    </row>
    <row r="51" spans="1:17">
      <c r="A51" s="172">
        <f t="shared" si="1"/>
        <v>48</v>
      </c>
      <c r="B51" s="80" t="s">
        <v>565</v>
      </c>
      <c r="C51" s="80" t="s">
        <v>566</v>
      </c>
      <c r="F51" s="80" t="s">
        <v>503</v>
      </c>
      <c r="G51" s="80" t="s">
        <v>468</v>
      </c>
      <c r="H51" s="80" t="s">
        <v>118</v>
      </c>
      <c r="I51" s="80" t="s">
        <v>450</v>
      </c>
      <c r="J51" s="79">
        <v>1</v>
      </c>
      <c r="K51" s="79">
        <v>0</v>
      </c>
      <c r="L51" s="79">
        <v>0</v>
      </c>
      <c r="M51" s="79" t="s">
        <v>451</v>
      </c>
      <c r="N51" s="79" t="s">
        <v>452</v>
      </c>
      <c r="O51" s="79" t="s">
        <v>453</v>
      </c>
      <c r="P51" s="79" t="s">
        <v>453</v>
      </c>
      <c r="Q51" s="79" t="s">
        <v>453</v>
      </c>
    </row>
    <row r="52" spans="1:17" ht="26.4">
      <c r="A52" s="172">
        <f t="shared" si="1"/>
        <v>49</v>
      </c>
      <c r="B52" s="80" t="s">
        <v>567</v>
      </c>
      <c r="C52" s="80" t="s">
        <v>568</v>
      </c>
      <c r="F52" s="80" t="s">
        <v>503</v>
      </c>
      <c r="G52" s="80" t="s">
        <v>468</v>
      </c>
      <c r="H52" s="80" t="s">
        <v>118</v>
      </c>
      <c r="I52" s="80" t="s">
        <v>450</v>
      </c>
      <c r="J52" s="79">
        <v>1</v>
      </c>
      <c r="K52" s="79">
        <v>0</v>
      </c>
      <c r="L52" s="79">
        <v>0</v>
      </c>
      <c r="M52" s="79" t="s">
        <v>451</v>
      </c>
      <c r="N52" s="79" t="s">
        <v>452</v>
      </c>
      <c r="O52" s="79" t="s">
        <v>453</v>
      </c>
      <c r="P52" s="79" t="s">
        <v>453</v>
      </c>
      <c r="Q52" s="79" t="s">
        <v>453</v>
      </c>
    </row>
    <row r="53" spans="1:17">
      <c r="A53" s="172">
        <f t="shared" si="1"/>
        <v>50</v>
      </c>
      <c r="B53" s="80" t="s">
        <v>569</v>
      </c>
      <c r="C53" s="80" t="s">
        <v>570</v>
      </c>
      <c r="E53" s="116" t="s">
        <v>189</v>
      </c>
      <c r="F53" s="80" t="s">
        <v>503</v>
      </c>
      <c r="G53" s="80" t="s">
        <v>459</v>
      </c>
      <c r="H53" s="80" t="s">
        <v>449</v>
      </c>
      <c r="I53" s="80" t="s">
        <v>450</v>
      </c>
      <c r="J53" s="79">
        <v>1</v>
      </c>
      <c r="K53" s="79">
        <v>0</v>
      </c>
      <c r="L53" s="79">
        <v>0</v>
      </c>
      <c r="M53" s="79" t="s">
        <v>451</v>
      </c>
      <c r="N53" s="79" t="s">
        <v>452</v>
      </c>
      <c r="O53" s="79" t="s">
        <v>453</v>
      </c>
      <c r="P53" s="79" t="s">
        <v>453</v>
      </c>
      <c r="Q53" s="79" t="s">
        <v>453</v>
      </c>
    </row>
    <row r="54" spans="1:17">
      <c r="A54" s="172">
        <f t="shared" si="1"/>
        <v>51</v>
      </c>
      <c r="B54" s="80" t="s">
        <v>571</v>
      </c>
      <c r="C54" s="80" t="s">
        <v>572</v>
      </c>
      <c r="F54" s="80" t="s">
        <v>503</v>
      </c>
      <c r="G54" s="80" t="s">
        <v>456</v>
      </c>
      <c r="H54" s="80">
        <v>0</v>
      </c>
      <c r="I54" s="80" t="s">
        <v>456</v>
      </c>
      <c r="J54" s="79">
        <v>12</v>
      </c>
      <c r="K54" s="79">
        <v>0</v>
      </c>
      <c r="L54" s="79">
        <v>0</v>
      </c>
      <c r="M54" s="79" t="s">
        <v>451</v>
      </c>
      <c r="N54" s="79" t="s">
        <v>452</v>
      </c>
      <c r="O54" s="79" t="s">
        <v>453</v>
      </c>
      <c r="P54" s="79" t="s">
        <v>453</v>
      </c>
      <c r="Q54" s="79" t="s">
        <v>453</v>
      </c>
    </row>
    <row r="55" spans="1:17">
      <c r="A55" s="172">
        <f t="shared" si="1"/>
        <v>52</v>
      </c>
      <c r="B55" s="80" t="s">
        <v>573</v>
      </c>
      <c r="C55" s="80" t="s">
        <v>574</v>
      </c>
      <c r="F55" s="80" t="s">
        <v>503</v>
      </c>
      <c r="G55" s="80" t="s">
        <v>456</v>
      </c>
      <c r="H55" s="80">
        <v>0</v>
      </c>
      <c r="I55" s="80" t="s">
        <v>456</v>
      </c>
      <c r="J55" s="79">
        <v>4</v>
      </c>
      <c r="K55" s="79">
        <v>0</v>
      </c>
      <c r="L55" s="79">
        <v>0</v>
      </c>
      <c r="M55" s="79" t="s">
        <v>451</v>
      </c>
      <c r="N55" s="79" t="s">
        <v>452</v>
      </c>
      <c r="O55" s="79" t="s">
        <v>453</v>
      </c>
      <c r="P55" s="79" t="s">
        <v>453</v>
      </c>
      <c r="Q55" s="79" t="s">
        <v>453</v>
      </c>
    </row>
    <row r="56" spans="1:17">
      <c r="A56" s="172">
        <f t="shared" si="1"/>
        <v>53</v>
      </c>
      <c r="B56" s="80" t="s">
        <v>575</v>
      </c>
      <c r="C56" s="80" t="s">
        <v>576</v>
      </c>
      <c r="F56" s="80" t="s">
        <v>503</v>
      </c>
      <c r="G56" s="80" t="s">
        <v>456</v>
      </c>
      <c r="H56" s="80">
        <v>0</v>
      </c>
      <c r="I56" s="80" t="s">
        <v>456</v>
      </c>
      <c r="J56" s="79">
        <v>4</v>
      </c>
      <c r="K56" s="79">
        <v>0</v>
      </c>
      <c r="L56" s="79">
        <v>0</v>
      </c>
      <c r="M56" s="79" t="s">
        <v>451</v>
      </c>
      <c r="N56" s="79" t="s">
        <v>452</v>
      </c>
      <c r="O56" s="79" t="s">
        <v>453</v>
      </c>
      <c r="P56" s="79" t="s">
        <v>453</v>
      </c>
      <c r="Q56" s="79" t="s">
        <v>453</v>
      </c>
    </row>
    <row r="57" spans="1:17">
      <c r="A57" s="172">
        <f t="shared" si="1"/>
        <v>54</v>
      </c>
      <c r="B57" s="80" t="s">
        <v>577</v>
      </c>
      <c r="C57" s="80" t="s">
        <v>578</v>
      </c>
      <c r="F57" s="80" t="s">
        <v>503</v>
      </c>
      <c r="G57" s="80" t="s">
        <v>459</v>
      </c>
      <c r="H57" s="80" t="s">
        <v>449</v>
      </c>
      <c r="I57" s="80" t="s">
        <v>450</v>
      </c>
      <c r="J57" s="79">
        <v>2</v>
      </c>
      <c r="K57" s="79">
        <v>0</v>
      </c>
      <c r="L57" s="79">
        <v>0</v>
      </c>
      <c r="M57" s="79" t="s">
        <v>579</v>
      </c>
      <c r="N57" s="79" t="s">
        <v>452</v>
      </c>
      <c r="O57" s="79" t="s">
        <v>453</v>
      </c>
      <c r="P57" s="79" t="s">
        <v>453</v>
      </c>
      <c r="Q57" s="79" t="s">
        <v>453</v>
      </c>
    </row>
    <row r="58" spans="1:17">
      <c r="A58" s="172">
        <f t="shared" si="1"/>
        <v>55</v>
      </c>
      <c r="B58" s="80" t="s">
        <v>580</v>
      </c>
      <c r="C58" s="80" t="s">
        <v>581</v>
      </c>
      <c r="E58" s="116" t="s">
        <v>173</v>
      </c>
      <c r="F58" s="80" t="s">
        <v>503</v>
      </c>
      <c r="G58" s="80" t="s">
        <v>459</v>
      </c>
      <c r="H58" s="80" t="s">
        <v>449</v>
      </c>
      <c r="I58" s="80" t="s">
        <v>450</v>
      </c>
      <c r="J58" s="79">
        <v>1</v>
      </c>
      <c r="K58" s="79">
        <v>0</v>
      </c>
      <c r="L58" s="79">
        <v>0</v>
      </c>
      <c r="M58" s="79" t="s">
        <v>451</v>
      </c>
      <c r="N58" s="79" t="s">
        <v>452</v>
      </c>
      <c r="O58" s="79" t="s">
        <v>453</v>
      </c>
      <c r="P58" s="79" t="s">
        <v>453</v>
      </c>
      <c r="Q58" s="79" t="s">
        <v>453</v>
      </c>
    </row>
    <row r="59" spans="1:17">
      <c r="A59" s="172">
        <f t="shared" si="1"/>
        <v>56</v>
      </c>
      <c r="B59" s="80" t="s">
        <v>582</v>
      </c>
      <c r="C59" s="80" t="s">
        <v>583</v>
      </c>
      <c r="F59" s="80" t="s">
        <v>503</v>
      </c>
      <c r="H59" s="80" t="s">
        <v>449</v>
      </c>
      <c r="I59" s="80" t="s">
        <v>450</v>
      </c>
      <c r="J59" s="79">
        <v>16</v>
      </c>
      <c r="K59" s="79">
        <v>0</v>
      </c>
      <c r="L59" s="79">
        <v>0</v>
      </c>
      <c r="M59" s="79" t="s">
        <v>451</v>
      </c>
      <c r="N59" s="79" t="s">
        <v>452</v>
      </c>
      <c r="O59" s="79" t="s">
        <v>453</v>
      </c>
      <c r="P59" s="79" t="s">
        <v>453</v>
      </c>
      <c r="Q59" s="79" t="s">
        <v>453</v>
      </c>
    </row>
    <row r="60" spans="1:17">
      <c r="A60" s="172">
        <f t="shared" si="1"/>
        <v>57</v>
      </c>
      <c r="B60" s="80" t="s">
        <v>584</v>
      </c>
      <c r="C60" s="80" t="s">
        <v>585</v>
      </c>
      <c r="E60" s="116" t="s">
        <v>586</v>
      </c>
      <c r="F60" s="80" t="s">
        <v>503</v>
      </c>
      <c r="G60" s="80" t="s">
        <v>456</v>
      </c>
      <c r="H60" s="80">
        <v>0</v>
      </c>
      <c r="I60" s="80" t="s">
        <v>456</v>
      </c>
      <c r="J60" s="79">
        <v>10</v>
      </c>
      <c r="K60" s="79">
        <v>0</v>
      </c>
      <c r="L60" s="79">
        <v>0</v>
      </c>
      <c r="M60" s="79" t="s">
        <v>451</v>
      </c>
      <c r="N60" s="79" t="s">
        <v>452</v>
      </c>
      <c r="O60" s="79" t="s">
        <v>453</v>
      </c>
      <c r="P60" s="79" t="s">
        <v>453</v>
      </c>
      <c r="Q60" s="79" t="s">
        <v>453</v>
      </c>
    </row>
    <row r="61" spans="1:17">
      <c r="A61" s="172">
        <f t="shared" si="1"/>
        <v>58</v>
      </c>
      <c r="B61" s="80" t="s">
        <v>587</v>
      </c>
      <c r="C61" s="80" t="s">
        <v>588</v>
      </c>
      <c r="F61" s="80" t="s">
        <v>503</v>
      </c>
      <c r="G61" s="80" t="s">
        <v>459</v>
      </c>
      <c r="H61" s="80" t="s">
        <v>449</v>
      </c>
      <c r="I61" s="80" t="s">
        <v>450</v>
      </c>
      <c r="J61" s="79">
        <v>1</v>
      </c>
      <c r="K61" s="79">
        <v>0</v>
      </c>
      <c r="L61" s="79">
        <v>0</v>
      </c>
      <c r="M61" s="79" t="s">
        <v>451</v>
      </c>
      <c r="N61" s="79" t="s">
        <v>452</v>
      </c>
      <c r="O61" s="79" t="s">
        <v>453</v>
      </c>
      <c r="P61" s="79" t="s">
        <v>453</v>
      </c>
      <c r="Q61" s="79" t="s">
        <v>453</v>
      </c>
    </row>
    <row r="62" spans="1:17" ht="39.6">
      <c r="A62" s="172">
        <f t="shared" si="1"/>
        <v>59</v>
      </c>
      <c r="B62" s="80" t="s">
        <v>589</v>
      </c>
      <c r="C62" s="80" t="s">
        <v>590</v>
      </c>
      <c r="D62" s="80" t="s">
        <v>589</v>
      </c>
      <c r="E62" s="116" t="s">
        <v>591</v>
      </c>
      <c r="F62" s="116" t="s">
        <v>513</v>
      </c>
      <c r="G62" s="80" t="s">
        <v>456</v>
      </c>
      <c r="H62" s="80">
        <v>0</v>
      </c>
      <c r="I62" s="80" t="s">
        <v>456</v>
      </c>
      <c r="J62" s="79">
        <v>12</v>
      </c>
      <c r="K62" s="79">
        <v>0</v>
      </c>
      <c r="L62" s="79">
        <v>0</v>
      </c>
      <c r="M62" s="79" t="s">
        <v>514</v>
      </c>
      <c r="N62" s="79" t="s">
        <v>452</v>
      </c>
      <c r="O62" s="79" t="s">
        <v>452</v>
      </c>
      <c r="P62" s="79" t="s">
        <v>452</v>
      </c>
      <c r="Q62" s="79" t="s">
        <v>452</v>
      </c>
    </row>
    <row r="63" spans="1:17">
      <c r="A63" s="172">
        <f t="shared" si="1"/>
        <v>60</v>
      </c>
      <c r="B63" s="80" t="s">
        <v>592</v>
      </c>
      <c r="C63" s="80" t="s">
        <v>593</v>
      </c>
      <c r="F63" s="80" t="s">
        <v>503</v>
      </c>
      <c r="G63" s="80" t="s">
        <v>456</v>
      </c>
      <c r="H63" s="80">
        <v>0</v>
      </c>
      <c r="I63" s="80" t="s">
        <v>456</v>
      </c>
      <c r="J63" s="79">
        <v>3</v>
      </c>
      <c r="K63" s="79">
        <v>0</v>
      </c>
      <c r="L63" s="79">
        <v>0</v>
      </c>
      <c r="M63" s="79" t="s">
        <v>451</v>
      </c>
      <c r="N63" s="79" t="s">
        <v>452</v>
      </c>
      <c r="O63" s="79" t="s">
        <v>453</v>
      </c>
      <c r="P63" s="79" t="s">
        <v>453</v>
      </c>
      <c r="Q63" s="79" t="s">
        <v>453</v>
      </c>
    </row>
    <row r="64" spans="1:17">
      <c r="A64" s="172">
        <f t="shared" si="1"/>
        <v>61</v>
      </c>
      <c r="B64" s="80" t="s">
        <v>594</v>
      </c>
      <c r="C64" s="80" t="s">
        <v>595</v>
      </c>
      <c r="F64" s="80" t="s">
        <v>503</v>
      </c>
      <c r="G64" s="80" t="s">
        <v>456</v>
      </c>
      <c r="H64" s="80">
        <v>0</v>
      </c>
      <c r="I64" s="80" t="s">
        <v>456</v>
      </c>
      <c r="J64" s="79">
        <v>12</v>
      </c>
      <c r="K64" s="79">
        <v>0</v>
      </c>
      <c r="L64" s="79">
        <v>0</v>
      </c>
      <c r="M64" s="79" t="s">
        <v>451</v>
      </c>
      <c r="N64" s="79" t="s">
        <v>452</v>
      </c>
      <c r="O64" s="79" t="s">
        <v>453</v>
      </c>
      <c r="P64" s="79" t="s">
        <v>453</v>
      </c>
      <c r="Q64" s="79" t="s">
        <v>453</v>
      </c>
    </row>
    <row r="65" spans="1:17">
      <c r="A65" s="172">
        <f t="shared" si="1"/>
        <v>62</v>
      </c>
      <c r="B65" s="80" t="s">
        <v>596</v>
      </c>
      <c r="C65" s="80" t="s">
        <v>597</v>
      </c>
      <c r="F65" s="80" t="s">
        <v>503</v>
      </c>
      <c r="G65" s="80" t="s">
        <v>456</v>
      </c>
      <c r="H65" s="80">
        <v>0</v>
      </c>
      <c r="I65" s="80" t="s">
        <v>456</v>
      </c>
      <c r="J65" s="79">
        <v>12</v>
      </c>
      <c r="K65" s="79">
        <v>0</v>
      </c>
      <c r="L65" s="79">
        <v>0</v>
      </c>
      <c r="M65" s="79" t="s">
        <v>451</v>
      </c>
      <c r="N65" s="79" t="s">
        <v>452</v>
      </c>
      <c r="O65" s="79" t="s">
        <v>453</v>
      </c>
      <c r="P65" s="79" t="s">
        <v>453</v>
      </c>
      <c r="Q65" s="79" t="s">
        <v>453</v>
      </c>
    </row>
    <row r="66" spans="1:17">
      <c r="A66" s="172">
        <f t="shared" si="1"/>
        <v>63</v>
      </c>
      <c r="B66" s="80" t="s">
        <v>598</v>
      </c>
      <c r="C66" s="80" t="s">
        <v>599</v>
      </c>
      <c r="F66" s="80" t="s">
        <v>503</v>
      </c>
      <c r="G66" s="80" t="s">
        <v>456</v>
      </c>
      <c r="H66" s="80">
        <v>0</v>
      </c>
      <c r="I66" s="80" t="s">
        <v>456</v>
      </c>
      <c r="J66" s="79">
        <v>12</v>
      </c>
      <c r="K66" s="79">
        <v>0</v>
      </c>
      <c r="L66" s="79">
        <v>0</v>
      </c>
      <c r="M66" s="79" t="s">
        <v>451</v>
      </c>
      <c r="N66" s="79" t="s">
        <v>452</v>
      </c>
      <c r="O66" s="79" t="s">
        <v>453</v>
      </c>
      <c r="P66" s="79" t="s">
        <v>453</v>
      </c>
      <c r="Q66" s="79" t="s">
        <v>453</v>
      </c>
    </row>
    <row r="67" spans="1:17">
      <c r="A67" s="172">
        <f t="shared" si="1"/>
        <v>64</v>
      </c>
      <c r="B67" s="80" t="s">
        <v>600</v>
      </c>
      <c r="C67" s="80" t="s">
        <v>601</v>
      </c>
      <c r="F67" s="80" t="s">
        <v>503</v>
      </c>
      <c r="G67" s="80" t="s">
        <v>456</v>
      </c>
      <c r="H67" s="80">
        <v>0</v>
      </c>
      <c r="I67" s="80" t="s">
        <v>456</v>
      </c>
      <c r="J67" s="79">
        <v>4</v>
      </c>
      <c r="K67" s="79">
        <v>0</v>
      </c>
      <c r="L67" s="79">
        <v>0</v>
      </c>
      <c r="M67" s="79" t="s">
        <v>451</v>
      </c>
      <c r="N67" s="79" t="s">
        <v>452</v>
      </c>
      <c r="O67" s="79" t="s">
        <v>453</v>
      </c>
      <c r="P67" s="79" t="s">
        <v>453</v>
      </c>
      <c r="Q67" s="79" t="s">
        <v>453</v>
      </c>
    </row>
    <row r="68" spans="1:17">
      <c r="A68" s="172">
        <f t="shared" si="1"/>
        <v>65</v>
      </c>
      <c r="B68" s="80" t="s">
        <v>602</v>
      </c>
      <c r="C68" s="80" t="s">
        <v>603</v>
      </c>
      <c r="F68" s="80" t="s">
        <v>503</v>
      </c>
      <c r="G68" s="80" t="s">
        <v>456</v>
      </c>
      <c r="H68" s="80">
        <v>0</v>
      </c>
      <c r="I68" s="80" t="s">
        <v>456</v>
      </c>
      <c r="J68" s="79">
        <v>12</v>
      </c>
      <c r="K68" s="79">
        <v>0</v>
      </c>
      <c r="L68" s="79">
        <v>0</v>
      </c>
      <c r="M68" s="79" t="s">
        <v>451</v>
      </c>
      <c r="N68" s="79" t="s">
        <v>452</v>
      </c>
      <c r="O68" s="79" t="s">
        <v>453</v>
      </c>
      <c r="P68" s="79" t="s">
        <v>453</v>
      </c>
      <c r="Q68" s="79" t="s">
        <v>453</v>
      </c>
    </row>
    <row r="69" spans="1:17" ht="39.6">
      <c r="A69" s="172">
        <f t="shared" si="1"/>
        <v>66</v>
      </c>
      <c r="B69" s="80" t="s">
        <v>604</v>
      </c>
      <c r="C69" s="80" t="s">
        <v>605</v>
      </c>
      <c r="F69" s="80" t="s">
        <v>503</v>
      </c>
      <c r="G69" s="80" t="s">
        <v>456</v>
      </c>
      <c r="H69" s="80">
        <v>0</v>
      </c>
      <c r="I69" s="80" t="s">
        <v>456</v>
      </c>
      <c r="J69" s="79">
        <v>4</v>
      </c>
      <c r="K69" s="79">
        <v>0</v>
      </c>
      <c r="L69" s="79">
        <v>0</v>
      </c>
      <c r="M69" s="79" t="s">
        <v>451</v>
      </c>
      <c r="N69" s="79" t="s">
        <v>452</v>
      </c>
      <c r="O69" s="79" t="s">
        <v>453</v>
      </c>
      <c r="P69" s="79" t="s">
        <v>453</v>
      </c>
      <c r="Q69" s="79" t="s">
        <v>453</v>
      </c>
    </row>
    <row r="70" spans="1:17">
      <c r="A70" s="172">
        <f t="shared" si="1"/>
        <v>67</v>
      </c>
      <c r="B70" s="80" t="s">
        <v>606</v>
      </c>
      <c r="C70" s="80" t="s">
        <v>607</v>
      </c>
      <c r="F70" s="80" t="s">
        <v>503</v>
      </c>
      <c r="G70" s="80" t="s">
        <v>459</v>
      </c>
      <c r="H70" s="80" t="s">
        <v>449</v>
      </c>
      <c r="I70" s="80" t="s">
        <v>450</v>
      </c>
      <c r="J70" s="79">
        <v>2</v>
      </c>
      <c r="K70" s="79">
        <v>0</v>
      </c>
      <c r="L70" s="79">
        <v>0</v>
      </c>
      <c r="M70" s="79" t="s">
        <v>451</v>
      </c>
      <c r="N70" s="79" t="s">
        <v>452</v>
      </c>
      <c r="O70" s="79" t="s">
        <v>453</v>
      </c>
      <c r="P70" s="79" t="s">
        <v>453</v>
      </c>
      <c r="Q70" s="79" t="s">
        <v>453</v>
      </c>
    </row>
    <row r="71" spans="1:17">
      <c r="A71" s="172">
        <f t="shared" si="1"/>
        <v>68</v>
      </c>
      <c r="B71" s="80" t="s">
        <v>608</v>
      </c>
      <c r="C71" s="80" t="s">
        <v>609</v>
      </c>
      <c r="E71" s="116" t="s">
        <v>214</v>
      </c>
      <c r="F71" s="80" t="s">
        <v>503</v>
      </c>
      <c r="G71" s="80" t="s">
        <v>456</v>
      </c>
      <c r="H71" s="80">
        <v>0</v>
      </c>
      <c r="I71" s="80" t="s">
        <v>456</v>
      </c>
      <c r="J71" s="79">
        <v>3</v>
      </c>
      <c r="K71" s="79">
        <v>0</v>
      </c>
      <c r="L71" s="79">
        <v>0</v>
      </c>
      <c r="M71" s="79" t="s">
        <v>451</v>
      </c>
      <c r="N71" s="79" t="s">
        <v>452</v>
      </c>
      <c r="O71" s="79" t="s">
        <v>453</v>
      </c>
      <c r="P71" s="79" t="s">
        <v>453</v>
      </c>
      <c r="Q71" s="79" t="s">
        <v>453</v>
      </c>
    </row>
    <row r="72" spans="1:17">
      <c r="A72" s="172">
        <f t="shared" si="1"/>
        <v>69</v>
      </c>
      <c r="B72" s="80" t="s">
        <v>610</v>
      </c>
      <c r="C72" s="80" t="s">
        <v>611</v>
      </c>
      <c r="E72" s="116" t="s">
        <v>612</v>
      </c>
      <c r="F72" s="80" t="s">
        <v>503</v>
      </c>
      <c r="G72" s="80" t="s">
        <v>468</v>
      </c>
      <c r="H72" s="80" t="s">
        <v>118</v>
      </c>
      <c r="I72" s="80" t="s">
        <v>450</v>
      </c>
      <c r="J72" s="79">
        <v>1</v>
      </c>
      <c r="K72" s="79">
        <v>0</v>
      </c>
      <c r="L72" s="79">
        <v>0</v>
      </c>
      <c r="M72" s="79" t="s">
        <v>451</v>
      </c>
      <c r="N72" s="79" t="s">
        <v>452</v>
      </c>
      <c r="O72" s="79" t="s">
        <v>453</v>
      </c>
      <c r="P72" s="79" t="s">
        <v>453</v>
      </c>
      <c r="Q72" s="79" t="s">
        <v>453</v>
      </c>
    </row>
    <row r="73" spans="1:17">
      <c r="A73" s="172">
        <f t="shared" si="1"/>
        <v>70</v>
      </c>
      <c r="B73" s="80" t="s">
        <v>613</v>
      </c>
      <c r="C73" s="80" t="s">
        <v>614</v>
      </c>
      <c r="E73" s="116" t="s">
        <v>615</v>
      </c>
      <c r="F73" s="80" t="s">
        <v>503</v>
      </c>
      <c r="G73" s="80" t="s">
        <v>456</v>
      </c>
      <c r="H73" s="80">
        <v>0</v>
      </c>
      <c r="I73" s="80" t="s">
        <v>456</v>
      </c>
      <c r="J73" s="79">
        <v>10</v>
      </c>
      <c r="K73" s="79">
        <v>0</v>
      </c>
      <c r="L73" s="79">
        <v>0</v>
      </c>
      <c r="M73" s="79" t="s">
        <v>451</v>
      </c>
      <c r="N73" s="79" t="s">
        <v>452</v>
      </c>
      <c r="O73" s="79" t="s">
        <v>453</v>
      </c>
      <c r="P73" s="79" t="s">
        <v>453</v>
      </c>
      <c r="Q73" s="79" t="s">
        <v>453</v>
      </c>
    </row>
    <row r="74" spans="1:17" ht="39.6">
      <c r="A74" s="172">
        <f t="shared" si="1"/>
        <v>71</v>
      </c>
      <c r="B74" s="80" t="s">
        <v>616</v>
      </c>
      <c r="C74" s="80" t="s">
        <v>617</v>
      </c>
      <c r="D74" s="80" t="s">
        <v>616</v>
      </c>
      <c r="E74" s="116" t="s">
        <v>618</v>
      </c>
      <c r="F74" s="116" t="s">
        <v>513</v>
      </c>
      <c r="G74" s="80" t="s">
        <v>456</v>
      </c>
      <c r="H74" s="80">
        <v>0</v>
      </c>
      <c r="I74" s="80" t="s">
        <v>456</v>
      </c>
      <c r="J74" s="79">
        <v>12</v>
      </c>
      <c r="K74" s="79">
        <v>0</v>
      </c>
      <c r="L74" s="79">
        <v>0</v>
      </c>
      <c r="M74" s="79" t="s">
        <v>514</v>
      </c>
      <c r="N74" s="79" t="s">
        <v>452</v>
      </c>
      <c r="O74" s="79" t="s">
        <v>452</v>
      </c>
      <c r="P74" s="79" t="s">
        <v>452</v>
      </c>
      <c r="Q74" s="79" t="s">
        <v>452</v>
      </c>
    </row>
    <row r="75" spans="1:17">
      <c r="A75" s="172">
        <f t="shared" si="1"/>
        <v>72</v>
      </c>
      <c r="B75" s="80" t="s">
        <v>619</v>
      </c>
      <c r="C75" s="80" t="s">
        <v>511</v>
      </c>
      <c r="D75" s="80" t="s">
        <v>619</v>
      </c>
      <c r="E75" s="116" t="s">
        <v>620</v>
      </c>
      <c r="F75" s="116" t="s">
        <v>513</v>
      </c>
      <c r="H75" s="80" t="s">
        <v>449</v>
      </c>
      <c r="I75" s="80" t="s">
        <v>450</v>
      </c>
      <c r="J75" s="79">
        <v>20</v>
      </c>
      <c r="K75" s="79">
        <v>0</v>
      </c>
      <c r="L75" s="79">
        <v>0</v>
      </c>
      <c r="M75" s="79" t="s">
        <v>514</v>
      </c>
      <c r="N75" s="79" t="s">
        <v>452</v>
      </c>
      <c r="O75" s="79" t="s">
        <v>452</v>
      </c>
    </row>
    <row r="76" spans="1:17">
      <c r="A76" s="172">
        <f t="shared" si="1"/>
        <v>73</v>
      </c>
      <c r="B76" s="80" t="s">
        <v>621</v>
      </c>
      <c r="C76" s="80" t="s">
        <v>622</v>
      </c>
      <c r="F76" s="80" t="s">
        <v>503</v>
      </c>
      <c r="G76" s="80" t="s">
        <v>468</v>
      </c>
      <c r="H76" s="80" t="s">
        <v>118</v>
      </c>
      <c r="I76" s="80" t="s">
        <v>450</v>
      </c>
      <c r="J76" s="79">
        <v>1</v>
      </c>
      <c r="K76" s="79">
        <v>0</v>
      </c>
      <c r="L76" s="79">
        <v>0</v>
      </c>
      <c r="M76" s="79" t="s">
        <v>451</v>
      </c>
      <c r="N76" s="79" t="s">
        <v>452</v>
      </c>
      <c r="O76" s="79" t="s">
        <v>453</v>
      </c>
      <c r="P76" s="79" t="s">
        <v>453</v>
      </c>
      <c r="Q76" s="79" t="s">
        <v>453</v>
      </c>
    </row>
    <row r="77" spans="1:17">
      <c r="A77" s="172">
        <f t="shared" si="1"/>
        <v>74</v>
      </c>
      <c r="B77" s="80" t="s">
        <v>623</v>
      </c>
      <c r="C77" s="80" t="s">
        <v>511</v>
      </c>
      <c r="D77" s="80" t="s">
        <v>623</v>
      </c>
      <c r="E77" s="116" t="s">
        <v>624</v>
      </c>
      <c r="F77" s="116" t="s">
        <v>513</v>
      </c>
      <c r="H77" s="80" t="s">
        <v>449</v>
      </c>
      <c r="I77" s="80" t="s">
        <v>450</v>
      </c>
      <c r="J77" s="79">
        <v>2</v>
      </c>
      <c r="K77" s="79">
        <v>0</v>
      </c>
      <c r="L77" s="79">
        <v>0</v>
      </c>
      <c r="M77" s="79" t="s">
        <v>514</v>
      </c>
      <c r="N77" s="79" t="s">
        <v>452</v>
      </c>
      <c r="P77" s="79" t="s">
        <v>452</v>
      </c>
      <c r="Q77" s="79" t="s">
        <v>452</v>
      </c>
    </row>
    <row r="78" spans="1:17">
      <c r="A78" s="172">
        <f t="shared" si="1"/>
        <v>75</v>
      </c>
      <c r="B78" s="80" t="s">
        <v>625</v>
      </c>
      <c r="C78" s="80" t="s">
        <v>511</v>
      </c>
      <c r="D78" s="80" t="s">
        <v>625</v>
      </c>
      <c r="E78" s="116" t="s">
        <v>626</v>
      </c>
      <c r="F78" s="116" t="s">
        <v>513</v>
      </c>
      <c r="H78" s="80" t="s">
        <v>449</v>
      </c>
      <c r="I78" s="80" t="s">
        <v>450</v>
      </c>
      <c r="J78" s="79">
        <v>20</v>
      </c>
      <c r="K78" s="79">
        <v>0</v>
      </c>
      <c r="L78" s="79">
        <v>0</v>
      </c>
      <c r="M78" s="79" t="s">
        <v>514</v>
      </c>
      <c r="N78" s="79" t="s">
        <v>452</v>
      </c>
      <c r="P78" s="79" t="s">
        <v>452</v>
      </c>
    </row>
    <row r="79" spans="1:17">
      <c r="A79" s="172">
        <f t="shared" si="1"/>
        <v>76</v>
      </c>
      <c r="B79" s="80" t="s">
        <v>627</v>
      </c>
      <c r="C79" s="80" t="s">
        <v>628</v>
      </c>
      <c r="F79" s="80" t="s">
        <v>629</v>
      </c>
      <c r="H79" s="80" t="s">
        <v>449</v>
      </c>
      <c r="I79" s="80" t="s">
        <v>450</v>
      </c>
      <c r="J79" s="79">
        <v>2</v>
      </c>
      <c r="K79" s="79">
        <v>0</v>
      </c>
      <c r="L79" s="79">
        <v>0</v>
      </c>
      <c r="M79" s="79" t="s">
        <v>451</v>
      </c>
      <c r="N79" s="79" t="s">
        <v>452</v>
      </c>
      <c r="O79" s="79" t="s">
        <v>453</v>
      </c>
      <c r="P79" s="79" t="s">
        <v>453</v>
      </c>
      <c r="Q79" s="79" t="s">
        <v>453</v>
      </c>
    </row>
    <row r="80" spans="1:17">
      <c r="A80" s="172">
        <f t="shared" si="1"/>
        <v>77</v>
      </c>
      <c r="B80" s="80" t="s">
        <v>630</v>
      </c>
      <c r="C80" s="80" t="s">
        <v>630</v>
      </c>
      <c r="E80" s="116" t="s">
        <v>631</v>
      </c>
      <c r="F80" s="80" t="s">
        <v>629</v>
      </c>
      <c r="G80" s="80" t="s">
        <v>456</v>
      </c>
      <c r="H80" s="80">
        <v>0</v>
      </c>
      <c r="I80" s="80" t="s">
        <v>456</v>
      </c>
      <c r="J80" s="79">
        <v>3</v>
      </c>
      <c r="K80" s="79">
        <v>0</v>
      </c>
      <c r="L80" s="79">
        <v>0</v>
      </c>
      <c r="M80" s="79" t="s">
        <v>451</v>
      </c>
      <c r="N80" s="79" t="s">
        <v>452</v>
      </c>
      <c r="O80" s="79" t="s">
        <v>453</v>
      </c>
      <c r="P80" s="79" t="s">
        <v>453</v>
      </c>
      <c r="Q80" s="79" t="s">
        <v>453</v>
      </c>
    </row>
    <row r="81" spans="1:17">
      <c r="A81" s="172">
        <f t="shared" si="1"/>
        <v>78</v>
      </c>
      <c r="B81" s="80" t="s">
        <v>632</v>
      </c>
      <c r="C81" s="80" t="s">
        <v>633</v>
      </c>
      <c r="F81" s="80" t="s">
        <v>629</v>
      </c>
      <c r="G81" s="80" t="s">
        <v>456</v>
      </c>
      <c r="H81" s="80">
        <v>0</v>
      </c>
      <c r="I81" s="80" t="s">
        <v>456</v>
      </c>
      <c r="J81" s="79">
        <v>10</v>
      </c>
      <c r="K81" s="79">
        <v>0</v>
      </c>
      <c r="L81" s="79">
        <v>0</v>
      </c>
      <c r="M81" s="79" t="s">
        <v>451</v>
      </c>
      <c r="N81" s="79" t="s">
        <v>452</v>
      </c>
      <c r="O81" s="79" t="s">
        <v>453</v>
      </c>
      <c r="P81" s="79" t="s">
        <v>453</v>
      </c>
      <c r="Q81" s="79" t="s">
        <v>453</v>
      </c>
    </row>
    <row r="82" spans="1:17">
      <c r="A82" s="172">
        <f t="shared" si="1"/>
        <v>79</v>
      </c>
      <c r="B82" s="80" t="s">
        <v>634</v>
      </c>
      <c r="C82" s="80" t="s">
        <v>511</v>
      </c>
      <c r="D82" s="80" t="s">
        <v>634</v>
      </c>
      <c r="E82" s="116" t="s">
        <v>635</v>
      </c>
      <c r="F82" s="116" t="s">
        <v>513</v>
      </c>
      <c r="G82" s="80" t="s">
        <v>456</v>
      </c>
      <c r="H82" s="80">
        <v>0</v>
      </c>
      <c r="I82" s="80" t="s">
        <v>456</v>
      </c>
      <c r="J82" s="79">
        <v>12</v>
      </c>
      <c r="K82" s="79">
        <v>2</v>
      </c>
      <c r="L82" s="79">
        <v>0</v>
      </c>
      <c r="M82" s="79" t="s">
        <v>514</v>
      </c>
      <c r="N82" s="79" t="s">
        <v>452</v>
      </c>
      <c r="Q82" s="79" t="s">
        <v>452</v>
      </c>
    </row>
    <row r="83" spans="1:17">
      <c r="A83" s="172">
        <f t="shared" si="1"/>
        <v>80</v>
      </c>
      <c r="B83" s="80" t="s">
        <v>636</v>
      </c>
      <c r="C83" s="80" t="s">
        <v>637</v>
      </c>
      <c r="E83" s="116" t="s">
        <v>638</v>
      </c>
      <c r="F83" s="80" t="s">
        <v>629</v>
      </c>
      <c r="G83" s="80" t="s">
        <v>456</v>
      </c>
      <c r="H83" s="80">
        <v>0</v>
      </c>
      <c r="I83" s="80" t="s">
        <v>456</v>
      </c>
      <c r="J83" s="79">
        <v>4</v>
      </c>
      <c r="K83" s="79">
        <v>2</v>
      </c>
      <c r="L83" s="79">
        <v>0</v>
      </c>
      <c r="M83" s="79" t="s">
        <v>451</v>
      </c>
      <c r="N83" s="79" t="s">
        <v>452</v>
      </c>
      <c r="O83" s="79" t="s">
        <v>453</v>
      </c>
      <c r="P83" s="79" t="s">
        <v>453</v>
      </c>
      <c r="Q83" s="79" t="s">
        <v>453</v>
      </c>
    </row>
    <row r="84" spans="1:17">
      <c r="A84" s="172">
        <f t="shared" si="1"/>
        <v>81</v>
      </c>
      <c r="B84" s="80" t="s">
        <v>639</v>
      </c>
      <c r="C84" s="80" t="s">
        <v>637</v>
      </c>
      <c r="E84" s="116" t="s">
        <v>640</v>
      </c>
      <c r="F84" s="80" t="s">
        <v>629</v>
      </c>
      <c r="G84" s="80" t="s">
        <v>456</v>
      </c>
      <c r="H84" s="80">
        <v>0</v>
      </c>
      <c r="I84" s="80" t="s">
        <v>456</v>
      </c>
      <c r="J84" s="79">
        <v>4</v>
      </c>
      <c r="K84" s="79">
        <v>2</v>
      </c>
      <c r="L84" s="79">
        <v>0</v>
      </c>
      <c r="M84" s="79" t="s">
        <v>451</v>
      </c>
      <c r="N84" s="79" t="s">
        <v>452</v>
      </c>
      <c r="O84" s="79" t="s">
        <v>453</v>
      </c>
      <c r="P84" s="79" t="s">
        <v>453</v>
      </c>
      <c r="Q84" s="79" t="s">
        <v>453</v>
      </c>
    </row>
    <row r="85" spans="1:17">
      <c r="A85" s="172">
        <f t="shared" si="1"/>
        <v>82</v>
      </c>
      <c r="B85" s="80" t="s">
        <v>641</v>
      </c>
      <c r="C85" s="80" t="s">
        <v>637</v>
      </c>
      <c r="E85" s="116" t="s">
        <v>642</v>
      </c>
      <c r="F85" s="80" t="s">
        <v>629</v>
      </c>
      <c r="G85" s="80" t="s">
        <v>456</v>
      </c>
      <c r="H85" s="80">
        <v>0</v>
      </c>
      <c r="I85" s="80" t="s">
        <v>456</v>
      </c>
      <c r="J85" s="79">
        <v>4</v>
      </c>
      <c r="K85" s="79">
        <v>2</v>
      </c>
      <c r="L85" s="79">
        <v>0</v>
      </c>
      <c r="M85" s="79" t="s">
        <v>451</v>
      </c>
      <c r="N85" s="79" t="s">
        <v>452</v>
      </c>
      <c r="O85" s="79" t="s">
        <v>453</v>
      </c>
      <c r="P85" s="79" t="s">
        <v>453</v>
      </c>
      <c r="Q85" s="79" t="s">
        <v>453</v>
      </c>
    </row>
    <row r="86" spans="1:17">
      <c r="A86" s="172">
        <f t="shared" ref="A86:A149" si="2">A85+1</f>
        <v>83</v>
      </c>
      <c r="B86" s="80" t="s">
        <v>643</v>
      </c>
      <c r="C86" s="80" t="s">
        <v>637</v>
      </c>
      <c r="E86" s="116" t="s">
        <v>644</v>
      </c>
      <c r="F86" s="80" t="s">
        <v>629</v>
      </c>
      <c r="G86" s="80" t="s">
        <v>456</v>
      </c>
      <c r="H86" s="80">
        <v>0</v>
      </c>
      <c r="I86" s="80" t="s">
        <v>456</v>
      </c>
      <c r="J86" s="79">
        <v>4</v>
      </c>
      <c r="K86" s="79">
        <v>2</v>
      </c>
      <c r="L86" s="79">
        <v>0</v>
      </c>
      <c r="M86" s="79" t="s">
        <v>451</v>
      </c>
      <c r="N86" s="79" t="s">
        <v>452</v>
      </c>
      <c r="O86" s="79" t="s">
        <v>453</v>
      </c>
      <c r="P86" s="79" t="s">
        <v>453</v>
      </c>
      <c r="Q86" s="79" t="s">
        <v>453</v>
      </c>
    </row>
    <row r="87" spans="1:17">
      <c r="A87" s="172">
        <f t="shared" si="2"/>
        <v>84</v>
      </c>
      <c r="B87" s="80" t="s">
        <v>645</v>
      </c>
      <c r="C87" s="80" t="s">
        <v>637</v>
      </c>
      <c r="E87" s="116" t="s">
        <v>646</v>
      </c>
      <c r="F87" s="80" t="s">
        <v>629</v>
      </c>
      <c r="G87" s="80" t="s">
        <v>456</v>
      </c>
      <c r="H87" s="80">
        <v>0</v>
      </c>
      <c r="I87" s="80" t="s">
        <v>456</v>
      </c>
      <c r="J87" s="79">
        <v>4</v>
      </c>
      <c r="K87" s="79">
        <v>2</v>
      </c>
      <c r="L87" s="79">
        <v>0</v>
      </c>
      <c r="M87" s="79" t="s">
        <v>451</v>
      </c>
      <c r="N87" s="79" t="s">
        <v>452</v>
      </c>
      <c r="O87" s="79" t="s">
        <v>453</v>
      </c>
      <c r="P87" s="79" t="s">
        <v>453</v>
      </c>
      <c r="Q87" s="79" t="s">
        <v>453</v>
      </c>
    </row>
    <row r="88" spans="1:17">
      <c r="A88" s="172">
        <f t="shared" si="2"/>
        <v>85</v>
      </c>
      <c r="B88" s="80" t="s">
        <v>647</v>
      </c>
      <c r="C88" s="80" t="s">
        <v>637</v>
      </c>
      <c r="E88" s="116" t="s">
        <v>648</v>
      </c>
      <c r="F88" s="80" t="s">
        <v>629</v>
      </c>
      <c r="G88" s="80" t="s">
        <v>456</v>
      </c>
      <c r="H88" s="80">
        <v>0</v>
      </c>
      <c r="I88" s="80" t="s">
        <v>456</v>
      </c>
      <c r="J88" s="79">
        <v>4</v>
      </c>
      <c r="K88" s="79">
        <v>2</v>
      </c>
      <c r="L88" s="79">
        <v>0</v>
      </c>
      <c r="M88" s="79" t="s">
        <v>451</v>
      </c>
      <c r="N88" s="79" t="s">
        <v>452</v>
      </c>
      <c r="O88" s="79" t="s">
        <v>453</v>
      </c>
      <c r="P88" s="79" t="s">
        <v>453</v>
      </c>
      <c r="Q88" s="79" t="s">
        <v>453</v>
      </c>
    </row>
    <row r="89" spans="1:17">
      <c r="A89" s="172">
        <f t="shared" si="2"/>
        <v>86</v>
      </c>
      <c r="B89" s="80" t="s">
        <v>649</v>
      </c>
      <c r="C89" s="80" t="s">
        <v>511</v>
      </c>
      <c r="D89" s="80" t="s">
        <v>649</v>
      </c>
      <c r="E89" s="116" t="s">
        <v>650</v>
      </c>
      <c r="F89" s="116" t="s">
        <v>513</v>
      </c>
      <c r="H89" s="80" t="s">
        <v>449</v>
      </c>
      <c r="I89" s="80" t="s">
        <v>450</v>
      </c>
      <c r="J89" s="79">
        <v>20</v>
      </c>
      <c r="K89" s="79">
        <v>0</v>
      </c>
      <c r="L89" s="79">
        <v>0</v>
      </c>
      <c r="M89" s="79" t="s">
        <v>514</v>
      </c>
      <c r="N89" s="79" t="s">
        <v>452</v>
      </c>
      <c r="Q89" s="79" t="s">
        <v>452</v>
      </c>
    </row>
    <row r="90" spans="1:17">
      <c r="A90" s="172">
        <f t="shared" si="2"/>
        <v>87</v>
      </c>
      <c r="B90" s="80" t="s">
        <v>651</v>
      </c>
      <c r="C90" s="80" t="s">
        <v>652</v>
      </c>
      <c r="F90" s="80" t="s">
        <v>629</v>
      </c>
      <c r="G90" s="80" t="s">
        <v>459</v>
      </c>
      <c r="H90" s="80" t="s">
        <v>449</v>
      </c>
      <c r="I90" s="80" t="s">
        <v>450</v>
      </c>
      <c r="J90" s="79">
        <v>2</v>
      </c>
      <c r="K90" s="79">
        <v>0</v>
      </c>
      <c r="L90" s="79">
        <v>0</v>
      </c>
      <c r="M90" s="79" t="s">
        <v>451</v>
      </c>
      <c r="N90" s="79" t="s">
        <v>452</v>
      </c>
      <c r="O90" s="79" t="s">
        <v>453</v>
      </c>
      <c r="P90" s="79" t="s">
        <v>453</v>
      </c>
      <c r="Q90" s="79" t="s">
        <v>453</v>
      </c>
    </row>
    <row r="91" spans="1:17">
      <c r="A91" s="172">
        <f t="shared" si="2"/>
        <v>88</v>
      </c>
      <c r="B91" s="80" t="s">
        <v>653</v>
      </c>
      <c r="C91" s="80" t="s">
        <v>654</v>
      </c>
      <c r="F91" s="80" t="s">
        <v>655</v>
      </c>
      <c r="H91" s="80" t="s">
        <v>449</v>
      </c>
      <c r="I91" s="80" t="s">
        <v>450</v>
      </c>
      <c r="J91" s="79">
        <v>20</v>
      </c>
      <c r="K91" s="79">
        <v>0</v>
      </c>
      <c r="L91" s="79">
        <v>0</v>
      </c>
      <c r="M91" s="79" t="s">
        <v>579</v>
      </c>
      <c r="N91" s="79" t="s">
        <v>452</v>
      </c>
      <c r="P91" s="79" t="s">
        <v>453</v>
      </c>
      <c r="Q91" s="79" t="s">
        <v>453</v>
      </c>
    </row>
    <row r="92" spans="1:17">
      <c r="A92" s="172">
        <f t="shared" si="2"/>
        <v>89</v>
      </c>
      <c r="B92" s="80" t="s">
        <v>656</v>
      </c>
      <c r="C92" s="80" t="s">
        <v>657</v>
      </c>
      <c r="D92" s="80" t="s">
        <v>658</v>
      </c>
      <c r="E92" s="116" t="s">
        <v>659</v>
      </c>
      <c r="F92" s="116" t="s">
        <v>513</v>
      </c>
      <c r="G92" s="80" t="s">
        <v>468</v>
      </c>
      <c r="H92" s="80" t="s">
        <v>449</v>
      </c>
      <c r="I92" s="80" t="s">
        <v>450</v>
      </c>
      <c r="J92" s="79">
        <v>1</v>
      </c>
      <c r="K92" s="79">
        <v>0</v>
      </c>
      <c r="L92" s="79">
        <v>0</v>
      </c>
      <c r="M92" s="79" t="s">
        <v>514</v>
      </c>
      <c r="N92" s="79" t="s">
        <v>452</v>
      </c>
      <c r="Q92" s="79" t="s">
        <v>452</v>
      </c>
    </row>
    <row r="93" spans="1:17">
      <c r="A93" s="172">
        <f t="shared" si="2"/>
        <v>90</v>
      </c>
      <c r="B93" s="80" t="s">
        <v>660</v>
      </c>
      <c r="C93" s="80" t="s">
        <v>661</v>
      </c>
      <c r="F93" s="80" t="s">
        <v>655</v>
      </c>
      <c r="H93" s="80" t="s">
        <v>449</v>
      </c>
      <c r="I93" s="80" t="s">
        <v>450</v>
      </c>
      <c r="J93" s="79">
        <v>3</v>
      </c>
      <c r="K93" s="79">
        <v>0</v>
      </c>
      <c r="L93" s="79">
        <v>0</v>
      </c>
      <c r="M93" s="79" t="s">
        <v>451</v>
      </c>
      <c r="N93" s="79" t="s">
        <v>452</v>
      </c>
      <c r="P93" s="79" t="s">
        <v>453</v>
      </c>
      <c r="Q93" s="79" t="s">
        <v>453</v>
      </c>
    </row>
    <row r="94" spans="1:17">
      <c r="A94" s="172">
        <f t="shared" si="2"/>
        <v>91</v>
      </c>
      <c r="B94" s="80" t="s">
        <v>662</v>
      </c>
      <c r="C94" s="80" t="s">
        <v>661</v>
      </c>
      <c r="F94" s="80" t="s">
        <v>655</v>
      </c>
      <c r="H94" s="80" t="s">
        <v>449</v>
      </c>
      <c r="I94" s="80" t="s">
        <v>450</v>
      </c>
      <c r="J94" s="79">
        <v>1</v>
      </c>
      <c r="K94" s="79">
        <v>0</v>
      </c>
      <c r="L94" s="79">
        <v>0</v>
      </c>
      <c r="M94" s="79" t="s">
        <v>579</v>
      </c>
      <c r="N94" s="79" t="s">
        <v>452</v>
      </c>
      <c r="P94" s="79" t="s">
        <v>453</v>
      </c>
      <c r="Q94" s="79" t="s">
        <v>453</v>
      </c>
    </row>
    <row r="95" spans="1:17">
      <c r="A95" s="172">
        <f t="shared" si="2"/>
        <v>92</v>
      </c>
      <c r="B95" s="80" t="s">
        <v>663</v>
      </c>
      <c r="C95" s="80" t="s">
        <v>661</v>
      </c>
      <c r="E95" s="116" t="s">
        <v>252</v>
      </c>
      <c r="F95" s="80" t="s">
        <v>655</v>
      </c>
      <c r="G95" s="80" t="s">
        <v>456</v>
      </c>
      <c r="H95" s="80">
        <v>0</v>
      </c>
      <c r="I95" s="80" t="s">
        <v>456</v>
      </c>
      <c r="J95" s="79">
        <v>4</v>
      </c>
      <c r="K95" s="79">
        <v>0</v>
      </c>
      <c r="L95" s="79">
        <v>0</v>
      </c>
      <c r="M95" s="79" t="s">
        <v>579</v>
      </c>
      <c r="N95" s="79" t="s">
        <v>452</v>
      </c>
      <c r="P95" s="79" t="s">
        <v>453</v>
      </c>
      <c r="Q95" s="79" t="s">
        <v>453</v>
      </c>
    </row>
    <row r="96" spans="1:17">
      <c r="A96" s="172">
        <f t="shared" si="2"/>
        <v>93</v>
      </c>
      <c r="B96" s="80" t="s">
        <v>664</v>
      </c>
      <c r="C96" s="80" t="s">
        <v>661</v>
      </c>
      <c r="F96" s="80" t="s">
        <v>655</v>
      </c>
      <c r="H96" s="80" t="s">
        <v>449</v>
      </c>
      <c r="I96" s="80" t="s">
        <v>450</v>
      </c>
      <c r="J96" s="79">
        <v>8</v>
      </c>
      <c r="K96" s="79">
        <v>0</v>
      </c>
      <c r="L96" s="79">
        <v>0</v>
      </c>
      <c r="M96" s="79" t="s">
        <v>579</v>
      </c>
      <c r="N96" s="79" t="s">
        <v>452</v>
      </c>
      <c r="P96" s="79" t="s">
        <v>453</v>
      </c>
      <c r="Q96" s="79" t="s">
        <v>453</v>
      </c>
    </row>
    <row r="97" spans="1:17">
      <c r="A97" s="172">
        <f t="shared" si="2"/>
        <v>94</v>
      </c>
      <c r="B97" s="80" t="s">
        <v>665</v>
      </c>
      <c r="C97" s="80" t="s">
        <v>661</v>
      </c>
      <c r="F97" s="80" t="s">
        <v>655</v>
      </c>
      <c r="H97" s="80" t="s">
        <v>449</v>
      </c>
      <c r="I97" s="80" t="s">
        <v>450</v>
      </c>
      <c r="J97" s="79">
        <v>1</v>
      </c>
      <c r="K97" s="79">
        <v>0</v>
      </c>
      <c r="L97" s="79">
        <v>0</v>
      </c>
      <c r="M97" s="79" t="s">
        <v>451</v>
      </c>
      <c r="N97" s="79" t="s">
        <v>452</v>
      </c>
      <c r="P97" s="79" t="s">
        <v>453</v>
      </c>
      <c r="Q97" s="79" t="s">
        <v>453</v>
      </c>
    </row>
    <row r="98" spans="1:17">
      <c r="A98" s="172">
        <f t="shared" si="2"/>
        <v>95</v>
      </c>
      <c r="B98" s="80" t="s">
        <v>666</v>
      </c>
      <c r="C98" s="80" t="s">
        <v>661</v>
      </c>
      <c r="F98" s="80" t="s">
        <v>655</v>
      </c>
      <c r="H98" s="80" t="s">
        <v>449</v>
      </c>
      <c r="I98" s="80" t="s">
        <v>450</v>
      </c>
      <c r="J98" s="79">
        <v>1</v>
      </c>
      <c r="K98" s="79">
        <v>0</v>
      </c>
      <c r="L98" s="79">
        <v>0</v>
      </c>
      <c r="M98" s="79" t="s">
        <v>451</v>
      </c>
      <c r="N98" s="79" t="s">
        <v>452</v>
      </c>
      <c r="P98" s="79" t="s">
        <v>453</v>
      </c>
      <c r="Q98" s="79" t="s">
        <v>453</v>
      </c>
    </row>
    <row r="99" spans="1:17">
      <c r="A99" s="172">
        <f t="shared" si="2"/>
        <v>96</v>
      </c>
      <c r="B99" s="80" t="s">
        <v>667</v>
      </c>
      <c r="C99" s="80" t="s">
        <v>661</v>
      </c>
      <c r="E99" s="116" t="s">
        <v>267</v>
      </c>
      <c r="F99" s="80" t="s">
        <v>655</v>
      </c>
      <c r="G99" s="80" t="s">
        <v>456</v>
      </c>
      <c r="H99" s="80">
        <v>0</v>
      </c>
      <c r="I99" s="80" t="s">
        <v>456</v>
      </c>
      <c r="J99" s="79">
        <v>12</v>
      </c>
      <c r="K99" s="79">
        <v>0</v>
      </c>
      <c r="L99" s="79">
        <v>0</v>
      </c>
      <c r="M99" s="79" t="s">
        <v>579</v>
      </c>
      <c r="N99" s="79" t="s">
        <v>452</v>
      </c>
      <c r="P99" s="79" t="s">
        <v>453</v>
      </c>
      <c r="Q99" s="79" t="s">
        <v>453</v>
      </c>
    </row>
    <row r="100" spans="1:17" ht="26.4">
      <c r="A100" s="172">
        <f t="shared" si="2"/>
        <v>97</v>
      </c>
      <c r="B100" s="80" t="s">
        <v>668</v>
      </c>
      <c r="C100" s="80" t="s">
        <v>661</v>
      </c>
      <c r="E100" s="116" t="s">
        <v>669</v>
      </c>
      <c r="F100" s="80" t="s">
        <v>655</v>
      </c>
      <c r="G100" s="80" t="s">
        <v>456</v>
      </c>
      <c r="H100" s="80">
        <v>0</v>
      </c>
      <c r="I100" s="80" t="s">
        <v>456</v>
      </c>
      <c r="J100" s="79">
        <v>4</v>
      </c>
      <c r="K100" s="79">
        <v>0</v>
      </c>
      <c r="L100" s="79">
        <v>0</v>
      </c>
      <c r="M100" s="79" t="s">
        <v>579</v>
      </c>
      <c r="N100" s="79" t="s">
        <v>452</v>
      </c>
      <c r="P100" s="79" t="s">
        <v>453</v>
      </c>
      <c r="Q100" s="79" t="s">
        <v>453</v>
      </c>
    </row>
    <row r="101" spans="1:17">
      <c r="A101" s="172">
        <f t="shared" si="2"/>
        <v>98</v>
      </c>
      <c r="B101" s="80" t="s">
        <v>670</v>
      </c>
      <c r="C101" s="80" t="s">
        <v>661</v>
      </c>
      <c r="F101" s="80" t="s">
        <v>655</v>
      </c>
      <c r="G101" s="80" t="s">
        <v>456</v>
      </c>
      <c r="H101" s="80">
        <v>0</v>
      </c>
      <c r="I101" s="80" t="s">
        <v>456</v>
      </c>
      <c r="J101" s="79">
        <v>12</v>
      </c>
      <c r="K101" s="79">
        <v>0</v>
      </c>
      <c r="L101" s="79">
        <v>0</v>
      </c>
      <c r="M101" s="79" t="s">
        <v>579</v>
      </c>
      <c r="N101" s="79" t="s">
        <v>452</v>
      </c>
      <c r="P101" s="79" t="s">
        <v>453</v>
      </c>
      <c r="Q101" s="79" t="s">
        <v>453</v>
      </c>
    </row>
    <row r="102" spans="1:17">
      <c r="A102" s="172">
        <f t="shared" si="2"/>
        <v>99</v>
      </c>
      <c r="B102" s="80" t="s">
        <v>671</v>
      </c>
      <c r="C102" s="80" t="s">
        <v>672</v>
      </c>
      <c r="D102" s="80" t="s">
        <v>671</v>
      </c>
      <c r="E102" s="116" t="s">
        <v>673</v>
      </c>
      <c r="F102" s="80" t="s">
        <v>655</v>
      </c>
      <c r="G102" s="80" t="s">
        <v>456</v>
      </c>
      <c r="H102" s="80">
        <v>0</v>
      </c>
      <c r="I102" s="80" t="s">
        <v>456</v>
      </c>
      <c r="J102" s="79">
        <v>4</v>
      </c>
      <c r="K102" s="79">
        <v>0</v>
      </c>
      <c r="L102" s="79">
        <v>0</v>
      </c>
      <c r="M102" s="79" t="s">
        <v>451</v>
      </c>
      <c r="N102" s="79" t="s">
        <v>452</v>
      </c>
      <c r="P102" s="79" t="s">
        <v>453</v>
      </c>
      <c r="Q102" s="79" t="s">
        <v>453</v>
      </c>
    </row>
    <row r="103" spans="1:17">
      <c r="A103" s="172">
        <f t="shared" si="2"/>
        <v>100</v>
      </c>
      <c r="B103" s="80" t="s">
        <v>674</v>
      </c>
      <c r="C103" s="80" t="s">
        <v>661</v>
      </c>
      <c r="F103" s="80" t="s">
        <v>655</v>
      </c>
      <c r="G103" s="80" t="s">
        <v>456</v>
      </c>
      <c r="H103" s="80">
        <v>0</v>
      </c>
      <c r="I103" s="80" t="s">
        <v>456</v>
      </c>
      <c r="J103" s="79">
        <v>3</v>
      </c>
      <c r="K103" s="79">
        <v>3</v>
      </c>
      <c r="L103" s="79">
        <v>0</v>
      </c>
      <c r="M103" s="79" t="s">
        <v>579</v>
      </c>
      <c r="N103" s="79" t="s">
        <v>452</v>
      </c>
      <c r="P103" s="79" t="s">
        <v>453</v>
      </c>
      <c r="Q103" s="79" t="s">
        <v>453</v>
      </c>
    </row>
    <row r="104" spans="1:17">
      <c r="A104" s="172">
        <f t="shared" si="2"/>
        <v>101</v>
      </c>
      <c r="B104" s="80" t="s">
        <v>675</v>
      </c>
      <c r="C104" s="80" t="s">
        <v>661</v>
      </c>
      <c r="F104" s="80" t="s">
        <v>655</v>
      </c>
      <c r="G104" s="80" t="s">
        <v>456</v>
      </c>
      <c r="H104" s="80">
        <v>0</v>
      </c>
      <c r="I104" s="80" t="s">
        <v>456</v>
      </c>
      <c r="J104" s="79">
        <v>12</v>
      </c>
      <c r="K104" s="79">
        <v>0</v>
      </c>
      <c r="L104" s="79">
        <v>0</v>
      </c>
      <c r="M104" s="79" t="s">
        <v>579</v>
      </c>
      <c r="N104" s="79" t="s">
        <v>452</v>
      </c>
      <c r="P104" s="79" t="s">
        <v>453</v>
      </c>
      <c r="Q104" s="79" t="s">
        <v>453</v>
      </c>
    </row>
    <row r="105" spans="1:17">
      <c r="A105" s="172">
        <f t="shared" si="2"/>
        <v>102</v>
      </c>
      <c r="B105" s="80" t="s">
        <v>676</v>
      </c>
      <c r="C105" s="80" t="s">
        <v>661</v>
      </c>
      <c r="F105" s="80" t="s">
        <v>655</v>
      </c>
      <c r="G105" s="80" t="s">
        <v>456</v>
      </c>
      <c r="H105" s="80">
        <v>0</v>
      </c>
      <c r="I105" s="80" t="s">
        <v>456</v>
      </c>
      <c r="J105" s="79">
        <v>12</v>
      </c>
      <c r="K105" s="79">
        <v>0</v>
      </c>
      <c r="L105" s="79">
        <v>0</v>
      </c>
      <c r="M105" s="79" t="s">
        <v>579</v>
      </c>
      <c r="N105" s="79" t="s">
        <v>452</v>
      </c>
      <c r="P105" s="79" t="s">
        <v>453</v>
      </c>
      <c r="Q105" s="79" t="s">
        <v>453</v>
      </c>
    </row>
    <row r="106" spans="1:17">
      <c r="A106" s="172">
        <f t="shared" si="2"/>
        <v>103</v>
      </c>
      <c r="B106" s="80" t="s">
        <v>677</v>
      </c>
      <c r="C106" s="80" t="s">
        <v>661</v>
      </c>
      <c r="F106" s="80" t="s">
        <v>655</v>
      </c>
      <c r="G106" s="80" t="s">
        <v>456</v>
      </c>
      <c r="H106" s="80">
        <v>0</v>
      </c>
      <c r="I106" s="80" t="s">
        <v>456</v>
      </c>
      <c r="J106" s="79">
        <v>4</v>
      </c>
      <c r="K106" s="79">
        <v>0</v>
      </c>
      <c r="L106" s="79">
        <v>0</v>
      </c>
      <c r="M106" s="79" t="s">
        <v>579</v>
      </c>
      <c r="N106" s="79" t="s">
        <v>452</v>
      </c>
      <c r="P106" s="79" t="s">
        <v>453</v>
      </c>
      <c r="Q106" s="79" t="s">
        <v>453</v>
      </c>
    </row>
    <row r="107" spans="1:17">
      <c r="A107" s="172">
        <f t="shared" si="2"/>
        <v>104</v>
      </c>
      <c r="B107" s="80" t="s">
        <v>678</v>
      </c>
      <c r="C107" s="80" t="s">
        <v>661</v>
      </c>
      <c r="D107" s="80" t="s">
        <v>678</v>
      </c>
      <c r="E107" s="116" t="s">
        <v>679</v>
      </c>
      <c r="F107" s="80" t="s">
        <v>655</v>
      </c>
      <c r="G107" s="80" t="s">
        <v>456</v>
      </c>
      <c r="H107" s="80">
        <v>0</v>
      </c>
      <c r="I107" s="80" t="s">
        <v>456</v>
      </c>
      <c r="J107" s="79">
        <v>12</v>
      </c>
      <c r="K107" s="79">
        <v>0</v>
      </c>
      <c r="L107" s="79">
        <v>0</v>
      </c>
      <c r="M107" s="79" t="s">
        <v>579</v>
      </c>
      <c r="N107" s="79" t="s">
        <v>452</v>
      </c>
      <c r="P107" s="79" t="s">
        <v>453</v>
      </c>
      <c r="Q107" s="79" t="s">
        <v>453</v>
      </c>
    </row>
    <row r="108" spans="1:17">
      <c r="A108" s="172">
        <f t="shared" si="2"/>
        <v>105</v>
      </c>
      <c r="B108" s="80" t="s">
        <v>680</v>
      </c>
      <c r="C108" s="80" t="s">
        <v>661</v>
      </c>
      <c r="F108" s="80" t="s">
        <v>655</v>
      </c>
      <c r="G108" s="80" t="s">
        <v>456</v>
      </c>
      <c r="H108" s="80">
        <v>0</v>
      </c>
      <c r="I108" s="80" t="s">
        <v>456</v>
      </c>
      <c r="J108" s="79">
        <v>4</v>
      </c>
      <c r="K108" s="79">
        <v>0</v>
      </c>
      <c r="L108" s="79">
        <v>0</v>
      </c>
      <c r="M108" s="79" t="s">
        <v>579</v>
      </c>
      <c r="N108" s="79" t="s">
        <v>452</v>
      </c>
      <c r="P108" s="79" t="s">
        <v>453</v>
      </c>
      <c r="Q108" s="79" t="s">
        <v>453</v>
      </c>
    </row>
    <row r="109" spans="1:17">
      <c r="A109" s="172">
        <f t="shared" si="2"/>
        <v>106</v>
      </c>
      <c r="B109" s="80" t="s">
        <v>681</v>
      </c>
      <c r="C109" s="80" t="s">
        <v>661</v>
      </c>
      <c r="F109" s="80" t="s">
        <v>655</v>
      </c>
      <c r="G109" s="80" t="s">
        <v>456</v>
      </c>
      <c r="H109" s="80">
        <v>0</v>
      </c>
      <c r="I109" s="80" t="s">
        <v>456</v>
      </c>
      <c r="J109" s="79">
        <v>4</v>
      </c>
      <c r="K109" s="79">
        <v>0</v>
      </c>
      <c r="L109" s="79">
        <v>0</v>
      </c>
      <c r="M109" s="79" t="s">
        <v>579</v>
      </c>
      <c r="N109" s="79" t="s">
        <v>452</v>
      </c>
      <c r="P109" s="79" t="s">
        <v>453</v>
      </c>
      <c r="Q109" s="79" t="s">
        <v>453</v>
      </c>
    </row>
    <row r="110" spans="1:17">
      <c r="A110" s="172">
        <f t="shared" si="2"/>
        <v>107</v>
      </c>
      <c r="B110" s="80" t="s">
        <v>682</v>
      </c>
      <c r="C110" s="80" t="s">
        <v>661</v>
      </c>
      <c r="F110" s="80" t="s">
        <v>655</v>
      </c>
      <c r="G110" s="80" t="s">
        <v>456</v>
      </c>
      <c r="H110" s="80">
        <v>0</v>
      </c>
      <c r="I110" s="80" t="s">
        <v>456</v>
      </c>
      <c r="J110" s="79">
        <v>4</v>
      </c>
      <c r="K110" s="79">
        <v>0</v>
      </c>
      <c r="L110" s="79">
        <v>0</v>
      </c>
      <c r="M110" s="79" t="s">
        <v>579</v>
      </c>
      <c r="N110" s="79" t="s">
        <v>452</v>
      </c>
      <c r="P110" s="79" t="s">
        <v>453</v>
      </c>
      <c r="Q110" s="79" t="s">
        <v>453</v>
      </c>
    </row>
    <row r="111" spans="1:17">
      <c r="A111" s="172">
        <f t="shared" si="2"/>
        <v>108</v>
      </c>
      <c r="B111" s="80" t="s">
        <v>683</v>
      </c>
      <c r="C111" s="80" t="s">
        <v>661</v>
      </c>
      <c r="F111" s="80" t="s">
        <v>655</v>
      </c>
      <c r="G111" s="80" t="s">
        <v>456</v>
      </c>
      <c r="H111" s="80">
        <v>0</v>
      </c>
      <c r="I111" s="80" t="s">
        <v>456</v>
      </c>
      <c r="J111" s="79">
        <v>4</v>
      </c>
      <c r="K111" s="79">
        <v>0</v>
      </c>
      <c r="L111" s="79">
        <v>0</v>
      </c>
      <c r="M111" s="79" t="s">
        <v>579</v>
      </c>
      <c r="N111" s="79" t="s">
        <v>452</v>
      </c>
      <c r="P111" s="79" t="s">
        <v>453</v>
      </c>
      <c r="Q111" s="79" t="s">
        <v>453</v>
      </c>
    </row>
    <row r="112" spans="1:17">
      <c r="A112" s="172">
        <f t="shared" si="2"/>
        <v>109</v>
      </c>
      <c r="B112" s="80" t="s">
        <v>684</v>
      </c>
      <c r="C112" s="80" t="s">
        <v>661</v>
      </c>
      <c r="E112" s="116" t="s">
        <v>257</v>
      </c>
      <c r="F112" s="80" t="s">
        <v>655</v>
      </c>
      <c r="G112" s="80" t="s">
        <v>456</v>
      </c>
      <c r="H112" s="80">
        <v>0</v>
      </c>
      <c r="I112" s="80" t="s">
        <v>456</v>
      </c>
      <c r="J112" s="79">
        <v>3</v>
      </c>
      <c r="K112" s="79">
        <v>3</v>
      </c>
      <c r="L112" s="79">
        <v>0</v>
      </c>
      <c r="M112" s="79" t="s">
        <v>579</v>
      </c>
      <c r="N112" s="79" t="s">
        <v>452</v>
      </c>
      <c r="P112" s="79" t="s">
        <v>453</v>
      </c>
      <c r="Q112" s="79" t="s">
        <v>453</v>
      </c>
    </row>
    <row r="113" spans="1:17">
      <c r="A113" s="172">
        <f t="shared" si="2"/>
        <v>110</v>
      </c>
      <c r="B113" s="80" t="s">
        <v>685</v>
      </c>
      <c r="C113" s="80" t="s">
        <v>661</v>
      </c>
      <c r="F113" s="80" t="s">
        <v>655</v>
      </c>
      <c r="G113" s="80" t="s">
        <v>456</v>
      </c>
      <c r="H113" s="80">
        <v>0</v>
      </c>
      <c r="I113" s="80" t="s">
        <v>456</v>
      </c>
      <c r="J113" s="79">
        <v>4</v>
      </c>
      <c r="K113" s="79">
        <v>3</v>
      </c>
      <c r="L113" s="79">
        <v>0</v>
      </c>
      <c r="M113" s="79" t="s">
        <v>579</v>
      </c>
      <c r="N113" s="79" t="s">
        <v>452</v>
      </c>
      <c r="P113" s="79" t="s">
        <v>453</v>
      </c>
      <c r="Q113" s="79" t="s">
        <v>453</v>
      </c>
    </row>
    <row r="114" spans="1:17">
      <c r="A114" s="172">
        <f t="shared" si="2"/>
        <v>111</v>
      </c>
      <c r="B114" s="80" t="s">
        <v>686</v>
      </c>
      <c r="C114" s="80" t="s">
        <v>661</v>
      </c>
      <c r="F114" s="80" t="s">
        <v>655</v>
      </c>
      <c r="G114" s="80" t="s">
        <v>468</v>
      </c>
      <c r="H114" s="80" t="s">
        <v>118</v>
      </c>
      <c r="I114" s="80" t="s">
        <v>450</v>
      </c>
      <c r="J114" s="79">
        <v>1</v>
      </c>
      <c r="K114" s="79">
        <v>0</v>
      </c>
      <c r="L114" s="79">
        <v>0</v>
      </c>
      <c r="M114" s="79" t="s">
        <v>579</v>
      </c>
      <c r="N114" s="79" t="s">
        <v>452</v>
      </c>
      <c r="P114" s="79" t="s">
        <v>453</v>
      </c>
      <c r="Q114" s="79" t="s">
        <v>453</v>
      </c>
    </row>
    <row r="115" spans="1:17">
      <c r="A115" s="172">
        <f t="shared" si="2"/>
        <v>112</v>
      </c>
      <c r="B115" s="80" t="s">
        <v>687</v>
      </c>
      <c r="C115" s="80" t="s">
        <v>661</v>
      </c>
      <c r="F115" s="80" t="s">
        <v>655</v>
      </c>
      <c r="G115" s="80" t="s">
        <v>468</v>
      </c>
      <c r="H115" s="80" t="s">
        <v>118</v>
      </c>
      <c r="I115" s="80" t="s">
        <v>450</v>
      </c>
      <c r="J115" s="79">
        <v>1</v>
      </c>
      <c r="K115" s="79">
        <v>0</v>
      </c>
      <c r="L115" s="79">
        <v>0</v>
      </c>
      <c r="M115" s="79" t="s">
        <v>579</v>
      </c>
      <c r="N115" s="79" t="s">
        <v>452</v>
      </c>
      <c r="P115" s="79" t="s">
        <v>453</v>
      </c>
      <c r="Q115" s="79" t="s">
        <v>453</v>
      </c>
    </row>
    <row r="116" spans="1:17">
      <c r="A116" s="172">
        <f t="shared" si="2"/>
        <v>113</v>
      </c>
      <c r="B116" s="80" t="s">
        <v>688</v>
      </c>
      <c r="C116" s="80" t="s">
        <v>661</v>
      </c>
      <c r="F116" s="80" t="s">
        <v>655</v>
      </c>
      <c r="G116" s="80" t="s">
        <v>456</v>
      </c>
      <c r="H116" s="80">
        <v>0</v>
      </c>
      <c r="I116" s="80" t="s">
        <v>456</v>
      </c>
      <c r="J116" s="79">
        <v>1</v>
      </c>
      <c r="K116" s="79">
        <v>0</v>
      </c>
      <c r="L116" s="79">
        <v>0</v>
      </c>
      <c r="M116" s="79" t="s">
        <v>579</v>
      </c>
      <c r="N116" s="79" t="s">
        <v>452</v>
      </c>
      <c r="P116" s="79" t="s">
        <v>453</v>
      </c>
      <c r="Q116" s="79" t="s">
        <v>453</v>
      </c>
    </row>
    <row r="117" spans="1:17" ht="26.4">
      <c r="A117" s="172">
        <f t="shared" si="2"/>
        <v>114</v>
      </c>
      <c r="B117" s="80" t="s">
        <v>689</v>
      </c>
      <c r="C117" s="80" t="s">
        <v>661</v>
      </c>
      <c r="F117" s="80" t="s">
        <v>655</v>
      </c>
      <c r="G117" s="80" t="s">
        <v>456</v>
      </c>
      <c r="H117" s="80">
        <v>0</v>
      </c>
      <c r="I117" s="80" t="s">
        <v>456</v>
      </c>
      <c r="J117" s="79">
        <v>4</v>
      </c>
      <c r="K117" s="79">
        <v>0</v>
      </c>
      <c r="L117" s="79">
        <v>0</v>
      </c>
      <c r="M117" s="79" t="s">
        <v>579</v>
      </c>
      <c r="N117" s="79" t="s">
        <v>452</v>
      </c>
      <c r="P117" s="79" t="s">
        <v>453</v>
      </c>
      <c r="Q117" s="79" t="s">
        <v>453</v>
      </c>
    </row>
    <row r="118" spans="1:17">
      <c r="A118" s="172">
        <f t="shared" si="2"/>
        <v>115</v>
      </c>
      <c r="B118" s="80" t="s">
        <v>690</v>
      </c>
      <c r="C118" s="80" t="s">
        <v>661</v>
      </c>
      <c r="F118" s="80" t="s">
        <v>655</v>
      </c>
      <c r="G118" s="80" t="s">
        <v>456</v>
      </c>
      <c r="H118" s="80">
        <v>0</v>
      </c>
      <c r="I118" s="80" t="s">
        <v>456</v>
      </c>
      <c r="J118" s="79">
        <v>4</v>
      </c>
      <c r="K118" s="79">
        <v>0</v>
      </c>
      <c r="L118" s="79">
        <v>0</v>
      </c>
      <c r="M118" s="79" t="s">
        <v>579</v>
      </c>
      <c r="N118" s="79" t="s">
        <v>452</v>
      </c>
      <c r="P118" s="79" t="s">
        <v>453</v>
      </c>
      <c r="Q118" s="79" t="s">
        <v>453</v>
      </c>
    </row>
    <row r="119" spans="1:17">
      <c r="A119" s="172">
        <f t="shared" si="2"/>
        <v>116</v>
      </c>
      <c r="B119" s="80" t="s">
        <v>691</v>
      </c>
      <c r="C119" s="80" t="s">
        <v>661</v>
      </c>
      <c r="F119" s="80" t="s">
        <v>655</v>
      </c>
      <c r="G119" s="80" t="s">
        <v>468</v>
      </c>
      <c r="H119" s="80">
        <v>0</v>
      </c>
      <c r="I119" s="80" t="s">
        <v>456</v>
      </c>
      <c r="J119" s="79">
        <v>1</v>
      </c>
      <c r="K119" s="79">
        <v>0</v>
      </c>
      <c r="L119" s="79">
        <v>0</v>
      </c>
      <c r="M119" s="79" t="s">
        <v>579</v>
      </c>
      <c r="N119" s="79" t="s">
        <v>452</v>
      </c>
      <c r="P119" s="79" t="s">
        <v>453</v>
      </c>
      <c r="Q119" s="79" t="s">
        <v>453</v>
      </c>
    </row>
    <row r="120" spans="1:17">
      <c r="A120" s="172">
        <f t="shared" si="2"/>
        <v>117</v>
      </c>
      <c r="B120" s="80" t="s">
        <v>692</v>
      </c>
      <c r="C120" s="80" t="s">
        <v>661</v>
      </c>
      <c r="E120" s="80" t="s">
        <v>693</v>
      </c>
      <c r="F120" s="80" t="s">
        <v>655</v>
      </c>
      <c r="G120" s="80" t="s">
        <v>456</v>
      </c>
      <c r="H120" s="80">
        <v>0</v>
      </c>
      <c r="I120" s="80" t="s">
        <v>456</v>
      </c>
      <c r="J120" s="79">
        <v>4</v>
      </c>
      <c r="K120" s="79">
        <v>0</v>
      </c>
      <c r="L120" s="79">
        <v>0</v>
      </c>
      <c r="M120" s="79" t="s">
        <v>579</v>
      </c>
      <c r="N120" s="79" t="s">
        <v>452</v>
      </c>
      <c r="P120" s="79" t="s">
        <v>453</v>
      </c>
      <c r="Q120" s="79" t="s">
        <v>453</v>
      </c>
    </row>
    <row r="121" spans="1:17">
      <c r="A121" s="172">
        <f t="shared" si="2"/>
        <v>118</v>
      </c>
      <c r="B121" s="80" t="s">
        <v>694</v>
      </c>
      <c r="C121" s="80" t="s">
        <v>661</v>
      </c>
      <c r="F121" s="80" t="s">
        <v>655</v>
      </c>
      <c r="G121" s="80" t="s">
        <v>456</v>
      </c>
      <c r="H121" s="80">
        <v>0</v>
      </c>
      <c r="I121" s="80" t="s">
        <v>456</v>
      </c>
      <c r="J121" s="79">
        <v>4</v>
      </c>
      <c r="K121" s="79">
        <v>0</v>
      </c>
      <c r="L121" s="79">
        <v>0</v>
      </c>
      <c r="M121" s="79" t="s">
        <v>579</v>
      </c>
      <c r="N121" s="79" t="s">
        <v>452</v>
      </c>
      <c r="P121" s="79" t="s">
        <v>453</v>
      </c>
      <c r="Q121" s="79" t="s">
        <v>453</v>
      </c>
    </row>
    <row r="122" spans="1:17">
      <c r="A122" s="172">
        <f t="shared" si="2"/>
        <v>119</v>
      </c>
      <c r="B122" s="80" t="s">
        <v>695</v>
      </c>
      <c r="C122" s="80" t="s">
        <v>661</v>
      </c>
      <c r="F122" s="80" t="s">
        <v>655</v>
      </c>
      <c r="G122" s="80" t="s">
        <v>456</v>
      </c>
      <c r="H122" s="80">
        <v>0</v>
      </c>
      <c r="I122" s="80" t="s">
        <v>456</v>
      </c>
      <c r="J122" s="79">
        <v>4</v>
      </c>
      <c r="K122" s="79">
        <v>0</v>
      </c>
      <c r="L122" s="79">
        <v>0</v>
      </c>
      <c r="M122" s="79" t="s">
        <v>579</v>
      </c>
      <c r="N122" s="79" t="s">
        <v>452</v>
      </c>
      <c r="P122" s="79" t="s">
        <v>453</v>
      </c>
      <c r="Q122" s="79" t="s">
        <v>453</v>
      </c>
    </row>
    <row r="123" spans="1:17">
      <c r="A123" s="172">
        <f t="shared" si="2"/>
        <v>120</v>
      </c>
      <c r="B123" s="80" t="s">
        <v>696</v>
      </c>
      <c r="C123" s="80" t="s">
        <v>661</v>
      </c>
      <c r="F123" s="80" t="s">
        <v>655</v>
      </c>
      <c r="G123" s="80" t="s">
        <v>456</v>
      </c>
      <c r="H123" s="80">
        <v>0</v>
      </c>
      <c r="I123" s="80" t="s">
        <v>456</v>
      </c>
      <c r="J123" s="79">
        <v>12</v>
      </c>
      <c r="K123" s="79">
        <v>0</v>
      </c>
      <c r="L123" s="79">
        <v>0</v>
      </c>
      <c r="M123" s="79" t="s">
        <v>579</v>
      </c>
      <c r="N123" s="79" t="s">
        <v>452</v>
      </c>
      <c r="P123" s="79" t="s">
        <v>453</v>
      </c>
      <c r="Q123" s="79" t="s">
        <v>453</v>
      </c>
    </row>
    <row r="124" spans="1:17" ht="26.4">
      <c r="A124" s="172">
        <f t="shared" si="2"/>
        <v>121</v>
      </c>
      <c r="B124" s="80" t="s">
        <v>697</v>
      </c>
      <c r="C124" s="80" t="s">
        <v>661</v>
      </c>
      <c r="F124" s="80" t="s">
        <v>655</v>
      </c>
      <c r="G124" s="80" t="s">
        <v>456</v>
      </c>
      <c r="H124" s="80">
        <v>0</v>
      </c>
      <c r="I124" s="80" t="s">
        <v>456</v>
      </c>
      <c r="J124" s="79">
        <v>12</v>
      </c>
      <c r="K124" s="79">
        <v>0</v>
      </c>
      <c r="L124" s="79">
        <v>0</v>
      </c>
      <c r="M124" s="79" t="s">
        <v>579</v>
      </c>
      <c r="N124" s="79" t="s">
        <v>452</v>
      </c>
      <c r="P124" s="79" t="s">
        <v>453</v>
      </c>
      <c r="Q124" s="79" t="s">
        <v>453</v>
      </c>
    </row>
    <row r="125" spans="1:17">
      <c r="A125" s="172">
        <f t="shared" si="2"/>
        <v>122</v>
      </c>
      <c r="B125" s="80" t="s">
        <v>698</v>
      </c>
      <c r="C125" s="80" t="s">
        <v>661</v>
      </c>
      <c r="F125" s="80" t="s">
        <v>655</v>
      </c>
      <c r="G125" s="80" t="s">
        <v>456</v>
      </c>
      <c r="H125" s="80">
        <v>0</v>
      </c>
      <c r="I125" s="80" t="s">
        <v>456</v>
      </c>
      <c r="J125" s="79">
        <v>4</v>
      </c>
      <c r="K125" s="79">
        <v>0</v>
      </c>
      <c r="L125" s="79">
        <v>0</v>
      </c>
      <c r="M125" s="79" t="s">
        <v>579</v>
      </c>
      <c r="N125" s="79" t="s">
        <v>452</v>
      </c>
      <c r="P125" s="79" t="s">
        <v>453</v>
      </c>
      <c r="Q125" s="79" t="s">
        <v>453</v>
      </c>
    </row>
    <row r="126" spans="1:17">
      <c r="A126" s="172">
        <f t="shared" si="2"/>
        <v>123</v>
      </c>
      <c r="B126" s="80" t="s">
        <v>699</v>
      </c>
      <c r="C126" s="80" t="s">
        <v>661</v>
      </c>
      <c r="F126" s="80" t="s">
        <v>655</v>
      </c>
      <c r="G126" s="80" t="s">
        <v>456</v>
      </c>
      <c r="H126" s="80">
        <v>0</v>
      </c>
      <c r="I126" s="80" t="s">
        <v>456</v>
      </c>
      <c r="J126" s="79">
        <v>12</v>
      </c>
      <c r="K126" s="79">
        <v>0</v>
      </c>
      <c r="L126" s="79">
        <v>0</v>
      </c>
      <c r="M126" s="79" t="s">
        <v>579</v>
      </c>
      <c r="N126" s="79" t="s">
        <v>452</v>
      </c>
      <c r="P126" s="79" t="s">
        <v>453</v>
      </c>
      <c r="Q126" s="79" t="s">
        <v>453</v>
      </c>
    </row>
    <row r="127" spans="1:17" ht="26.4">
      <c r="A127" s="172">
        <f t="shared" si="2"/>
        <v>124</v>
      </c>
      <c r="B127" s="80" t="s">
        <v>700</v>
      </c>
      <c r="C127" s="80" t="s">
        <v>661</v>
      </c>
      <c r="F127" s="80" t="s">
        <v>655</v>
      </c>
      <c r="G127" s="80" t="s">
        <v>456</v>
      </c>
      <c r="H127" s="80">
        <v>0</v>
      </c>
      <c r="I127" s="80" t="s">
        <v>456</v>
      </c>
      <c r="J127" s="79">
        <v>12</v>
      </c>
      <c r="K127" s="79">
        <v>0</v>
      </c>
      <c r="L127" s="79">
        <v>0</v>
      </c>
      <c r="M127" s="79" t="s">
        <v>579</v>
      </c>
      <c r="N127" s="79" t="s">
        <v>452</v>
      </c>
      <c r="P127" s="79" t="s">
        <v>453</v>
      </c>
      <c r="Q127" s="79" t="s">
        <v>453</v>
      </c>
    </row>
    <row r="128" spans="1:17">
      <c r="A128" s="172">
        <f t="shared" si="2"/>
        <v>125</v>
      </c>
      <c r="B128" s="80" t="s">
        <v>701</v>
      </c>
      <c r="C128" s="80" t="s">
        <v>661</v>
      </c>
      <c r="E128" s="116" t="s">
        <v>702</v>
      </c>
      <c r="F128" s="80" t="s">
        <v>655</v>
      </c>
      <c r="G128" s="80" t="s">
        <v>456</v>
      </c>
      <c r="H128" s="80">
        <v>0</v>
      </c>
      <c r="I128" s="80" t="s">
        <v>456</v>
      </c>
      <c r="J128" s="79">
        <v>4</v>
      </c>
      <c r="K128" s="79">
        <v>0</v>
      </c>
      <c r="L128" s="79">
        <v>0</v>
      </c>
      <c r="M128" s="79" t="s">
        <v>579</v>
      </c>
      <c r="N128" s="79" t="s">
        <v>452</v>
      </c>
      <c r="P128" s="79" t="s">
        <v>453</v>
      </c>
      <c r="Q128" s="79" t="s">
        <v>453</v>
      </c>
    </row>
    <row r="129" spans="1:17">
      <c r="A129" s="172">
        <f t="shared" si="2"/>
        <v>126</v>
      </c>
      <c r="B129" s="80" t="s">
        <v>703</v>
      </c>
      <c r="C129" s="80" t="s">
        <v>661</v>
      </c>
      <c r="F129" s="80" t="s">
        <v>655</v>
      </c>
      <c r="G129" s="80" t="s">
        <v>456</v>
      </c>
      <c r="H129" s="80">
        <v>0</v>
      </c>
      <c r="I129" s="80" t="s">
        <v>456</v>
      </c>
      <c r="J129" s="79">
        <v>12</v>
      </c>
      <c r="K129" s="79">
        <v>0</v>
      </c>
      <c r="L129" s="79">
        <v>0</v>
      </c>
      <c r="M129" s="79" t="s">
        <v>579</v>
      </c>
      <c r="N129" s="79" t="s">
        <v>452</v>
      </c>
      <c r="P129" s="79" t="s">
        <v>453</v>
      </c>
      <c r="Q129" s="79" t="s">
        <v>453</v>
      </c>
    </row>
    <row r="130" spans="1:17" ht="26.4">
      <c r="A130" s="172">
        <f t="shared" si="2"/>
        <v>127</v>
      </c>
      <c r="B130" s="80" t="s">
        <v>704</v>
      </c>
      <c r="C130" s="80" t="s">
        <v>661</v>
      </c>
      <c r="F130" s="80" t="s">
        <v>655</v>
      </c>
      <c r="G130" s="80" t="s">
        <v>456</v>
      </c>
      <c r="H130" s="80">
        <v>0</v>
      </c>
      <c r="I130" s="80" t="s">
        <v>456</v>
      </c>
      <c r="J130" s="79">
        <v>12</v>
      </c>
      <c r="K130" s="79">
        <v>0</v>
      </c>
      <c r="L130" s="79">
        <v>0</v>
      </c>
      <c r="M130" s="79" t="s">
        <v>579</v>
      </c>
      <c r="N130" s="79" t="s">
        <v>452</v>
      </c>
      <c r="P130" s="79" t="s">
        <v>453</v>
      </c>
      <c r="Q130" s="79" t="s">
        <v>453</v>
      </c>
    </row>
    <row r="131" spans="1:17" ht="26.4">
      <c r="A131" s="172">
        <f t="shared" si="2"/>
        <v>128</v>
      </c>
      <c r="B131" s="80" t="s">
        <v>705</v>
      </c>
      <c r="C131" s="80" t="s">
        <v>661</v>
      </c>
      <c r="F131" s="80" t="s">
        <v>655</v>
      </c>
      <c r="G131" s="80" t="s">
        <v>456</v>
      </c>
      <c r="H131" s="80">
        <v>0</v>
      </c>
      <c r="I131" s="80" t="s">
        <v>456</v>
      </c>
      <c r="J131" s="79">
        <v>4</v>
      </c>
      <c r="K131" s="79">
        <v>0</v>
      </c>
      <c r="L131" s="79">
        <v>0</v>
      </c>
      <c r="M131" s="79" t="s">
        <v>579</v>
      </c>
      <c r="N131" s="79" t="s">
        <v>452</v>
      </c>
      <c r="P131" s="79" t="s">
        <v>453</v>
      </c>
      <c r="Q131" s="79" t="s">
        <v>453</v>
      </c>
    </row>
    <row r="132" spans="1:17">
      <c r="A132" s="172">
        <f t="shared" si="2"/>
        <v>129</v>
      </c>
      <c r="B132" s="80" t="s">
        <v>706</v>
      </c>
      <c r="C132" s="80" t="s">
        <v>661</v>
      </c>
      <c r="F132" s="80" t="s">
        <v>655</v>
      </c>
      <c r="G132" s="80" t="s">
        <v>456</v>
      </c>
      <c r="H132" s="80">
        <v>0</v>
      </c>
      <c r="I132" s="80" t="s">
        <v>456</v>
      </c>
      <c r="J132" s="79">
        <v>4</v>
      </c>
      <c r="K132" s="79">
        <v>0</v>
      </c>
      <c r="L132" s="79">
        <v>0</v>
      </c>
      <c r="M132" s="79" t="s">
        <v>579</v>
      </c>
      <c r="N132" s="79" t="s">
        <v>452</v>
      </c>
      <c r="P132" s="79" t="s">
        <v>453</v>
      </c>
      <c r="Q132" s="79" t="s">
        <v>453</v>
      </c>
    </row>
    <row r="133" spans="1:17" ht="26.4">
      <c r="A133" s="172">
        <f t="shared" si="2"/>
        <v>130</v>
      </c>
      <c r="B133" s="80" t="s">
        <v>707</v>
      </c>
      <c r="C133" s="80" t="s">
        <v>661</v>
      </c>
      <c r="F133" s="80" t="s">
        <v>655</v>
      </c>
      <c r="G133" s="80" t="s">
        <v>456</v>
      </c>
      <c r="H133" s="80">
        <v>0</v>
      </c>
      <c r="I133" s="80" t="s">
        <v>456</v>
      </c>
      <c r="J133" s="79">
        <v>4</v>
      </c>
      <c r="K133" s="79">
        <v>0</v>
      </c>
      <c r="L133" s="79">
        <v>0</v>
      </c>
      <c r="M133" s="79" t="s">
        <v>579</v>
      </c>
      <c r="N133" s="79" t="s">
        <v>452</v>
      </c>
      <c r="P133" s="79" t="s">
        <v>453</v>
      </c>
      <c r="Q133" s="79" t="s">
        <v>453</v>
      </c>
    </row>
    <row r="134" spans="1:17">
      <c r="A134" s="172">
        <f t="shared" si="2"/>
        <v>131</v>
      </c>
      <c r="B134" s="80" t="s">
        <v>708</v>
      </c>
      <c r="C134" s="80" t="s">
        <v>661</v>
      </c>
      <c r="F134" s="80" t="s">
        <v>655</v>
      </c>
      <c r="G134" s="80" t="s">
        <v>456</v>
      </c>
      <c r="H134" s="80">
        <v>0</v>
      </c>
      <c r="I134" s="80" t="s">
        <v>456</v>
      </c>
      <c r="J134" s="79">
        <v>4</v>
      </c>
      <c r="K134" s="79">
        <v>0</v>
      </c>
      <c r="L134" s="79">
        <v>0</v>
      </c>
      <c r="M134" s="79" t="s">
        <v>579</v>
      </c>
      <c r="N134" s="79" t="s">
        <v>452</v>
      </c>
      <c r="P134" s="79" t="s">
        <v>453</v>
      </c>
      <c r="Q134" s="79" t="s">
        <v>453</v>
      </c>
    </row>
    <row r="135" spans="1:17">
      <c r="A135" s="172">
        <f t="shared" si="2"/>
        <v>132</v>
      </c>
      <c r="B135" s="80" t="s">
        <v>709</v>
      </c>
      <c r="C135" s="80" t="s">
        <v>661</v>
      </c>
      <c r="F135" s="80" t="s">
        <v>655</v>
      </c>
      <c r="G135" s="80" t="s">
        <v>456</v>
      </c>
      <c r="H135" s="80">
        <v>0</v>
      </c>
      <c r="I135" s="80" t="s">
        <v>456</v>
      </c>
      <c r="J135" s="79">
        <v>12</v>
      </c>
      <c r="K135" s="79">
        <v>0</v>
      </c>
      <c r="L135" s="79">
        <v>0</v>
      </c>
      <c r="M135" s="79" t="s">
        <v>579</v>
      </c>
      <c r="N135" s="79" t="s">
        <v>452</v>
      </c>
      <c r="P135" s="79" t="s">
        <v>453</v>
      </c>
      <c r="Q135" s="79" t="s">
        <v>453</v>
      </c>
    </row>
    <row r="136" spans="1:17">
      <c r="A136" s="172">
        <f t="shared" si="2"/>
        <v>133</v>
      </c>
      <c r="B136" s="80" t="s">
        <v>710</v>
      </c>
      <c r="C136" s="80" t="s">
        <v>661</v>
      </c>
      <c r="F136" s="80" t="s">
        <v>655</v>
      </c>
      <c r="G136" s="80" t="s">
        <v>456</v>
      </c>
      <c r="H136" s="80">
        <v>0</v>
      </c>
      <c r="I136" s="80" t="s">
        <v>456</v>
      </c>
      <c r="J136" s="79">
        <v>12</v>
      </c>
      <c r="K136" s="79">
        <v>0</v>
      </c>
      <c r="L136" s="79">
        <v>0</v>
      </c>
      <c r="M136" s="79" t="s">
        <v>579</v>
      </c>
      <c r="N136" s="79" t="s">
        <v>452</v>
      </c>
      <c r="P136" s="79" t="s">
        <v>453</v>
      </c>
      <c r="Q136" s="79" t="s">
        <v>453</v>
      </c>
    </row>
    <row r="137" spans="1:17">
      <c r="A137" s="172">
        <f t="shared" si="2"/>
        <v>134</v>
      </c>
      <c r="B137" s="80" t="s">
        <v>711</v>
      </c>
      <c r="C137" s="80" t="s">
        <v>661</v>
      </c>
      <c r="F137" s="80" t="s">
        <v>655</v>
      </c>
      <c r="G137" s="80" t="s">
        <v>456</v>
      </c>
      <c r="H137" s="80">
        <v>0</v>
      </c>
      <c r="I137" s="80" t="s">
        <v>456</v>
      </c>
      <c r="J137" s="79">
        <v>12</v>
      </c>
      <c r="K137" s="79">
        <v>0</v>
      </c>
      <c r="L137" s="79">
        <v>0</v>
      </c>
      <c r="M137" s="79" t="s">
        <v>579</v>
      </c>
      <c r="N137" s="79" t="s">
        <v>452</v>
      </c>
      <c r="P137" s="79" t="s">
        <v>453</v>
      </c>
      <c r="Q137" s="79" t="s">
        <v>453</v>
      </c>
    </row>
    <row r="138" spans="1:17">
      <c r="A138" s="172">
        <f t="shared" si="2"/>
        <v>135</v>
      </c>
      <c r="B138" s="80" t="s">
        <v>712</v>
      </c>
      <c r="C138" s="80" t="s">
        <v>661</v>
      </c>
      <c r="F138" s="80" t="s">
        <v>655</v>
      </c>
      <c r="G138" s="80" t="s">
        <v>456</v>
      </c>
      <c r="H138" s="80">
        <v>0</v>
      </c>
      <c r="I138" s="80" t="s">
        <v>456</v>
      </c>
      <c r="J138" s="79">
        <v>4</v>
      </c>
      <c r="K138" s="79">
        <v>0</v>
      </c>
      <c r="L138" s="79">
        <v>0</v>
      </c>
      <c r="M138" s="79" t="s">
        <v>579</v>
      </c>
      <c r="N138" s="79" t="s">
        <v>452</v>
      </c>
      <c r="P138" s="79" t="s">
        <v>453</v>
      </c>
      <c r="Q138" s="79" t="s">
        <v>453</v>
      </c>
    </row>
    <row r="139" spans="1:17">
      <c r="A139" s="172">
        <f t="shared" si="2"/>
        <v>136</v>
      </c>
      <c r="B139" s="80" t="s">
        <v>713</v>
      </c>
      <c r="C139" s="80" t="s">
        <v>661</v>
      </c>
      <c r="F139" s="80" t="s">
        <v>655</v>
      </c>
      <c r="G139" s="80" t="s">
        <v>456</v>
      </c>
      <c r="H139" s="80">
        <v>0</v>
      </c>
      <c r="I139" s="80" t="s">
        <v>456</v>
      </c>
      <c r="J139" s="79">
        <v>4</v>
      </c>
      <c r="K139" s="79">
        <v>0</v>
      </c>
      <c r="L139" s="79">
        <v>0</v>
      </c>
      <c r="M139" s="79" t="s">
        <v>579</v>
      </c>
      <c r="N139" s="79" t="s">
        <v>452</v>
      </c>
      <c r="P139" s="79" t="s">
        <v>453</v>
      </c>
      <c r="Q139" s="79" t="s">
        <v>453</v>
      </c>
    </row>
    <row r="140" spans="1:17" ht="26.4">
      <c r="A140" s="172">
        <f t="shared" si="2"/>
        <v>137</v>
      </c>
      <c r="B140" s="80" t="s">
        <v>714</v>
      </c>
      <c r="C140" s="80" t="s">
        <v>661</v>
      </c>
      <c r="F140" s="80" t="s">
        <v>655</v>
      </c>
      <c r="G140" s="80" t="s">
        <v>456</v>
      </c>
      <c r="H140" s="80">
        <v>0</v>
      </c>
      <c r="I140" s="80" t="s">
        <v>456</v>
      </c>
      <c r="J140" s="79">
        <v>4</v>
      </c>
      <c r="K140" s="79">
        <v>0</v>
      </c>
      <c r="L140" s="79">
        <v>0</v>
      </c>
      <c r="M140" s="79" t="s">
        <v>579</v>
      </c>
      <c r="N140" s="79" t="s">
        <v>452</v>
      </c>
      <c r="P140" s="79" t="s">
        <v>453</v>
      </c>
      <c r="Q140" s="79" t="s">
        <v>453</v>
      </c>
    </row>
    <row r="141" spans="1:17">
      <c r="A141" s="172">
        <f t="shared" si="2"/>
        <v>138</v>
      </c>
      <c r="B141" s="80" t="s">
        <v>715</v>
      </c>
      <c r="C141" s="80" t="s">
        <v>661</v>
      </c>
      <c r="F141" s="80" t="s">
        <v>655</v>
      </c>
      <c r="G141" s="80" t="s">
        <v>456</v>
      </c>
      <c r="H141" s="80">
        <v>0</v>
      </c>
      <c r="I141" s="80" t="s">
        <v>456</v>
      </c>
      <c r="J141" s="79">
        <v>4</v>
      </c>
      <c r="K141" s="79">
        <v>0</v>
      </c>
      <c r="L141" s="79">
        <v>0</v>
      </c>
      <c r="M141" s="79" t="s">
        <v>579</v>
      </c>
      <c r="N141" s="79" t="s">
        <v>452</v>
      </c>
      <c r="P141" s="79" t="s">
        <v>453</v>
      </c>
      <c r="Q141" s="79" t="s">
        <v>453</v>
      </c>
    </row>
    <row r="142" spans="1:17">
      <c r="A142" s="172">
        <f t="shared" si="2"/>
        <v>139</v>
      </c>
      <c r="B142" s="80" t="s">
        <v>716</v>
      </c>
      <c r="C142" s="80" t="s">
        <v>661</v>
      </c>
      <c r="F142" s="80" t="s">
        <v>655</v>
      </c>
      <c r="G142" s="80" t="s">
        <v>456</v>
      </c>
      <c r="H142" s="80">
        <v>0</v>
      </c>
      <c r="I142" s="80" t="s">
        <v>456</v>
      </c>
      <c r="J142" s="79">
        <v>4</v>
      </c>
      <c r="K142" s="79">
        <v>0</v>
      </c>
      <c r="L142" s="79">
        <v>0</v>
      </c>
      <c r="M142" s="79" t="s">
        <v>579</v>
      </c>
      <c r="N142" s="79" t="s">
        <v>452</v>
      </c>
      <c r="P142" s="79" t="s">
        <v>453</v>
      </c>
      <c r="Q142" s="79" t="s">
        <v>453</v>
      </c>
    </row>
    <row r="143" spans="1:17">
      <c r="A143" s="172">
        <f t="shared" si="2"/>
        <v>140</v>
      </c>
      <c r="B143" s="80" t="s">
        <v>717</v>
      </c>
      <c r="C143" s="80" t="s">
        <v>661</v>
      </c>
      <c r="F143" s="80" t="s">
        <v>655</v>
      </c>
      <c r="G143" s="80" t="s">
        <v>456</v>
      </c>
      <c r="H143" s="80">
        <v>0</v>
      </c>
      <c r="I143" s="80" t="s">
        <v>456</v>
      </c>
      <c r="J143" s="79">
        <v>12</v>
      </c>
      <c r="K143" s="79">
        <v>0</v>
      </c>
      <c r="L143" s="79">
        <v>0</v>
      </c>
      <c r="M143" s="79" t="s">
        <v>579</v>
      </c>
      <c r="N143" s="79" t="s">
        <v>452</v>
      </c>
      <c r="P143" s="79" t="s">
        <v>453</v>
      </c>
      <c r="Q143" s="79" t="s">
        <v>453</v>
      </c>
    </row>
    <row r="144" spans="1:17">
      <c r="A144" s="172">
        <f t="shared" si="2"/>
        <v>141</v>
      </c>
      <c r="B144" s="80" t="s">
        <v>718</v>
      </c>
      <c r="C144" s="80" t="s">
        <v>661</v>
      </c>
      <c r="F144" s="80" t="s">
        <v>655</v>
      </c>
      <c r="G144" s="80" t="s">
        <v>456</v>
      </c>
      <c r="H144" s="80">
        <v>0</v>
      </c>
      <c r="I144" s="80" t="s">
        <v>456</v>
      </c>
      <c r="J144" s="79">
        <v>12</v>
      </c>
      <c r="K144" s="79">
        <v>0</v>
      </c>
      <c r="L144" s="79">
        <v>0</v>
      </c>
      <c r="M144" s="79" t="s">
        <v>579</v>
      </c>
      <c r="N144" s="79" t="s">
        <v>452</v>
      </c>
      <c r="P144" s="79" t="s">
        <v>453</v>
      </c>
      <c r="Q144" s="79" t="s">
        <v>453</v>
      </c>
    </row>
    <row r="145" spans="1:17" ht="26.4">
      <c r="A145" s="172">
        <f t="shared" si="2"/>
        <v>142</v>
      </c>
      <c r="B145" s="80" t="s">
        <v>719</v>
      </c>
      <c r="C145" s="80" t="s">
        <v>661</v>
      </c>
      <c r="F145" s="80" t="s">
        <v>655</v>
      </c>
      <c r="G145" s="80" t="s">
        <v>456</v>
      </c>
      <c r="H145" s="80">
        <v>0</v>
      </c>
      <c r="I145" s="80" t="s">
        <v>456</v>
      </c>
      <c r="J145" s="79">
        <v>4</v>
      </c>
      <c r="K145" s="79">
        <v>0</v>
      </c>
      <c r="L145" s="79">
        <v>0</v>
      </c>
      <c r="M145" s="79" t="s">
        <v>579</v>
      </c>
      <c r="N145" s="79" t="s">
        <v>452</v>
      </c>
      <c r="P145" s="79" t="s">
        <v>453</v>
      </c>
      <c r="Q145" s="79" t="s">
        <v>453</v>
      </c>
    </row>
    <row r="146" spans="1:17" ht="26.4">
      <c r="A146" s="172">
        <f t="shared" si="2"/>
        <v>143</v>
      </c>
      <c r="B146" s="80" t="s">
        <v>720</v>
      </c>
      <c r="C146" s="80" t="s">
        <v>661</v>
      </c>
      <c r="F146" s="80" t="s">
        <v>655</v>
      </c>
      <c r="G146" s="80" t="s">
        <v>456</v>
      </c>
      <c r="H146" s="80">
        <v>0</v>
      </c>
      <c r="I146" s="80" t="s">
        <v>456</v>
      </c>
      <c r="J146" s="79">
        <v>4</v>
      </c>
      <c r="K146" s="79">
        <v>0</v>
      </c>
      <c r="L146" s="79">
        <v>0</v>
      </c>
      <c r="M146" s="79" t="s">
        <v>579</v>
      </c>
      <c r="N146" s="79" t="s">
        <v>452</v>
      </c>
      <c r="P146" s="79" t="s">
        <v>453</v>
      </c>
      <c r="Q146" s="79" t="s">
        <v>453</v>
      </c>
    </row>
    <row r="147" spans="1:17">
      <c r="A147" s="172">
        <f t="shared" si="2"/>
        <v>144</v>
      </c>
      <c r="B147" s="80" t="s">
        <v>721</v>
      </c>
      <c r="C147" s="80" t="s">
        <v>661</v>
      </c>
      <c r="F147" s="80" t="s">
        <v>655</v>
      </c>
      <c r="G147" s="80" t="s">
        <v>456</v>
      </c>
      <c r="H147" s="80">
        <v>0</v>
      </c>
      <c r="I147" s="80" t="s">
        <v>456</v>
      </c>
      <c r="J147" s="79">
        <v>12</v>
      </c>
      <c r="K147" s="79">
        <v>0</v>
      </c>
      <c r="L147" s="79">
        <v>0</v>
      </c>
      <c r="M147" s="79" t="s">
        <v>579</v>
      </c>
      <c r="N147" s="79" t="s">
        <v>452</v>
      </c>
      <c r="P147" s="79" t="s">
        <v>453</v>
      </c>
      <c r="Q147" s="79" t="s">
        <v>453</v>
      </c>
    </row>
    <row r="148" spans="1:17">
      <c r="A148" s="172">
        <f t="shared" si="2"/>
        <v>145</v>
      </c>
      <c r="B148" s="80" t="s">
        <v>722</v>
      </c>
      <c r="C148" s="80" t="s">
        <v>661</v>
      </c>
      <c r="F148" s="80" t="s">
        <v>655</v>
      </c>
      <c r="G148" s="80" t="s">
        <v>456</v>
      </c>
      <c r="H148" s="80">
        <v>0</v>
      </c>
      <c r="I148" s="80" t="s">
        <v>456</v>
      </c>
      <c r="J148" s="79">
        <v>12</v>
      </c>
      <c r="K148" s="79">
        <v>0</v>
      </c>
      <c r="L148" s="79">
        <v>0</v>
      </c>
      <c r="M148" s="79" t="s">
        <v>579</v>
      </c>
      <c r="N148" s="79" t="s">
        <v>452</v>
      </c>
      <c r="P148" s="79" t="s">
        <v>453</v>
      </c>
      <c r="Q148" s="79" t="s">
        <v>453</v>
      </c>
    </row>
    <row r="149" spans="1:17">
      <c r="A149" s="172">
        <f t="shared" si="2"/>
        <v>146</v>
      </c>
      <c r="B149" s="80" t="s">
        <v>723</v>
      </c>
      <c r="C149" s="80" t="s">
        <v>661</v>
      </c>
      <c r="F149" s="80" t="s">
        <v>655</v>
      </c>
      <c r="G149" s="80" t="s">
        <v>456</v>
      </c>
      <c r="H149" s="80">
        <v>0</v>
      </c>
      <c r="I149" s="80" t="s">
        <v>456</v>
      </c>
      <c r="J149" s="79">
        <v>12</v>
      </c>
      <c r="K149" s="79">
        <v>0</v>
      </c>
      <c r="L149" s="79">
        <v>0</v>
      </c>
      <c r="M149" s="79" t="s">
        <v>579</v>
      </c>
      <c r="N149" s="79" t="s">
        <v>452</v>
      </c>
      <c r="P149" s="79" t="s">
        <v>453</v>
      </c>
      <c r="Q149" s="79" t="s">
        <v>453</v>
      </c>
    </row>
    <row r="150" spans="1:17">
      <c r="A150" s="172">
        <f t="shared" ref="A150:A213" si="3">A149+1</f>
        <v>147</v>
      </c>
      <c r="B150" s="80" t="s">
        <v>724</v>
      </c>
      <c r="C150" s="80" t="s">
        <v>661</v>
      </c>
      <c r="F150" s="80" t="s">
        <v>655</v>
      </c>
      <c r="G150" s="80" t="s">
        <v>456</v>
      </c>
      <c r="H150" s="80">
        <v>0</v>
      </c>
      <c r="I150" s="80" t="s">
        <v>456</v>
      </c>
      <c r="J150" s="79">
        <v>12</v>
      </c>
      <c r="K150" s="79">
        <v>0</v>
      </c>
      <c r="L150" s="79">
        <v>0</v>
      </c>
      <c r="M150" s="79" t="s">
        <v>579</v>
      </c>
      <c r="N150" s="79" t="s">
        <v>452</v>
      </c>
      <c r="P150" s="79" t="s">
        <v>453</v>
      </c>
      <c r="Q150" s="79" t="s">
        <v>453</v>
      </c>
    </row>
    <row r="151" spans="1:17">
      <c r="A151" s="172">
        <f t="shared" si="3"/>
        <v>148</v>
      </c>
      <c r="B151" s="80" t="s">
        <v>725</v>
      </c>
      <c r="C151" s="80" t="s">
        <v>661</v>
      </c>
      <c r="F151" s="80" t="s">
        <v>655</v>
      </c>
      <c r="G151" s="80" t="s">
        <v>456</v>
      </c>
      <c r="H151" s="80">
        <v>0</v>
      </c>
      <c r="I151" s="80" t="s">
        <v>456</v>
      </c>
      <c r="J151" s="79">
        <v>12</v>
      </c>
      <c r="K151" s="79">
        <v>0</v>
      </c>
      <c r="L151" s="79">
        <v>0</v>
      </c>
      <c r="M151" s="79" t="s">
        <v>579</v>
      </c>
      <c r="N151" s="79" t="s">
        <v>452</v>
      </c>
      <c r="P151" s="79" t="s">
        <v>453</v>
      </c>
      <c r="Q151" s="79" t="s">
        <v>453</v>
      </c>
    </row>
    <row r="152" spans="1:17">
      <c r="A152" s="172">
        <f t="shared" si="3"/>
        <v>149</v>
      </c>
      <c r="B152" s="80" t="s">
        <v>726</v>
      </c>
      <c r="C152" s="80" t="s">
        <v>661</v>
      </c>
      <c r="F152" s="80" t="s">
        <v>655</v>
      </c>
      <c r="G152" s="80" t="s">
        <v>456</v>
      </c>
      <c r="H152" s="80">
        <v>0</v>
      </c>
      <c r="I152" s="80" t="s">
        <v>456</v>
      </c>
      <c r="J152" s="79">
        <v>12</v>
      </c>
      <c r="K152" s="79">
        <v>0</v>
      </c>
      <c r="L152" s="79">
        <v>0</v>
      </c>
      <c r="M152" s="79" t="s">
        <v>579</v>
      </c>
      <c r="N152" s="79" t="s">
        <v>452</v>
      </c>
      <c r="P152" s="79" t="s">
        <v>453</v>
      </c>
      <c r="Q152" s="79" t="s">
        <v>453</v>
      </c>
    </row>
    <row r="153" spans="1:17" ht="26.4">
      <c r="A153" s="172">
        <f t="shared" si="3"/>
        <v>150</v>
      </c>
      <c r="B153" s="80" t="s">
        <v>727</v>
      </c>
      <c r="C153" s="80" t="s">
        <v>661</v>
      </c>
      <c r="F153" s="80" t="s">
        <v>655</v>
      </c>
      <c r="G153" s="80" t="s">
        <v>456</v>
      </c>
      <c r="H153" s="80">
        <v>0</v>
      </c>
      <c r="I153" s="80" t="s">
        <v>456</v>
      </c>
      <c r="J153" s="79">
        <v>12</v>
      </c>
      <c r="K153" s="79">
        <v>0</v>
      </c>
      <c r="L153" s="79">
        <v>0</v>
      </c>
      <c r="M153" s="79" t="s">
        <v>579</v>
      </c>
      <c r="N153" s="79" t="s">
        <v>452</v>
      </c>
      <c r="P153" s="79" t="s">
        <v>453</v>
      </c>
      <c r="Q153" s="79" t="s">
        <v>453</v>
      </c>
    </row>
    <row r="154" spans="1:17">
      <c r="A154" s="172">
        <f t="shared" si="3"/>
        <v>151</v>
      </c>
      <c r="B154" s="80" t="s">
        <v>728</v>
      </c>
      <c r="C154" s="80" t="s">
        <v>661</v>
      </c>
      <c r="F154" s="80" t="s">
        <v>655</v>
      </c>
      <c r="G154" s="80" t="s">
        <v>456</v>
      </c>
      <c r="H154" s="80">
        <v>0</v>
      </c>
      <c r="I154" s="80" t="s">
        <v>456</v>
      </c>
      <c r="J154" s="79">
        <v>12</v>
      </c>
      <c r="K154" s="79">
        <v>0</v>
      </c>
      <c r="L154" s="79">
        <v>0</v>
      </c>
      <c r="M154" s="79" t="s">
        <v>579</v>
      </c>
      <c r="N154" s="79" t="s">
        <v>452</v>
      </c>
      <c r="P154" s="79" t="s">
        <v>453</v>
      </c>
      <c r="Q154" s="79" t="s">
        <v>453</v>
      </c>
    </row>
    <row r="155" spans="1:17" ht="26.4">
      <c r="A155" s="172">
        <f t="shared" si="3"/>
        <v>152</v>
      </c>
      <c r="B155" s="80" t="s">
        <v>729</v>
      </c>
      <c r="C155" s="80" t="s">
        <v>661</v>
      </c>
      <c r="F155" s="80" t="s">
        <v>655</v>
      </c>
      <c r="G155" s="80" t="s">
        <v>456</v>
      </c>
      <c r="H155" s="80">
        <v>0</v>
      </c>
      <c r="I155" s="80" t="s">
        <v>456</v>
      </c>
      <c r="J155" s="79">
        <v>12</v>
      </c>
      <c r="K155" s="79">
        <v>0</v>
      </c>
      <c r="L155" s="79">
        <v>0</v>
      </c>
      <c r="M155" s="79" t="s">
        <v>579</v>
      </c>
      <c r="N155" s="79" t="s">
        <v>452</v>
      </c>
      <c r="P155" s="79" t="s">
        <v>453</v>
      </c>
      <c r="Q155" s="79" t="s">
        <v>453</v>
      </c>
    </row>
    <row r="156" spans="1:17">
      <c r="A156" s="172">
        <f t="shared" si="3"/>
        <v>153</v>
      </c>
      <c r="B156" s="80" t="s">
        <v>730</v>
      </c>
      <c r="C156" s="80" t="s">
        <v>661</v>
      </c>
      <c r="F156" s="80" t="s">
        <v>655</v>
      </c>
      <c r="G156" s="80" t="s">
        <v>456</v>
      </c>
      <c r="H156" s="80">
        <v>0</v>
      </c>
      <c r="I156" s="80" t="s">
        <v>456</v>
      </c>
      <c r="J156" s="79">
        <v>12</v>
      </c>
      <c r="K156" s="79">
        <v>0</v>
      </c>
      <c r="L156" s="79">
        <v>0</v>
      </c>
      <c r="M156" s="79" t="s">
        <v>579</v>
      </c>
      <c r="N156" s="79" t="s">
        <v>452</v>
      </c>
      <c r="P156" s="79" t="s">
        <v>453</v>
      </c>
      <c r="Q156" s="79" t="s">
        <v>453</v>
      </c>
    </row>
    <row r="157" spans="1:17">
      <c r="A157" s="172">
        <f t="shared" si="3"/>
        <v>154</v>
      </c>
      <c r="B157" s="80" t="s">
        <v>731</v>
      </c>
      <c r="C157" s="80" t="s">
        <v>661</v>
      </c>
      <c r="F157" s="80" t="s">
        <v>655</v>
      </c>
      <c r="G157" s="80" t="s">
        <v>456</v>
      </c>
      <c r="H157" s="80">
        <v>0</v>
      </c>
      <c r="I157" s="80" t="s">
        <v>456</v>
      </c>
      <c r="J157" s="79">
        <v>4</v>
      </c>
      <c r="K157" s="79">
        <v>0</v>
      </c>
      <c r="L157" s="79">
        <v>0</v>
      </c>
      <c r="M157" s="79" t="s">
        <v>579</v>
      </c>
      <c r="N157" s="79" t="s">
        <v>452</v>
      </c>
      <c r="P157" s="79" t="s">
        <v>453</v>
      </c>
      <c r="Q157" s="79" t="s">
        <v>453</v>
      </c>
    </row>
    <row r="158" spans="1:17">
      <c r="A158" s="172">
        <f t="shared" si="3"/>
        <v>155</v>
      </c>
      <c r="B158" s="80" t="s">
        <v>732</v>
      </c>
      <c r="C158" s="80" t="s">
        <v>661</v>
      </c>
      <c r="F158" s="80" t="s">
        <v>655</v>
      </c>
      <c r="G158" s="80" t="s">
        <v>456</v>
      </c>
      <c r="H158" s="80">
        <v>0</v>
      </c>
      <c r="I158" s="80" t="s">
        <v>456</v>
      </c>
      <c r="J158" s="79">
        <v>4</v>
      </c>
      <c r="K158" s="79">
        <v>0</v>
      </c>
      <c r="L158" s="79">
        <v>0</v>
      </c>
      <c r="M158" s="79" t="s">
        <v>579</v>
      </c>
      <c r="N158" s="79" t="s">
        <v>452</v>
      </c>
      <c r="P158" s="79" t="s">
        <v>453</v>
      </c>
      <c r="Q158" s="79" t="s">
        <v>453</v>
      </c>
    </row>
    <row r="159" spans="1:17">
      <c r="A159" s="172">
        <f t="shared" si="3"/>
        <v>156</v>
      </c>
      <c r="B159" s="80" t="s">
        <v>733</v>
      </c>
      <c r="C159" s="80" t="s">
        <v>661</v>
      </c>
      <c r="F159" s="80" t="s">
        <v>655</v>
      </c>
      <c r="G159" s="80" t="s">
        <v>456</v>
      </c>
      <c r="H159" s="80">
        <v>0</v>
      </c>
      <c r="I159" s="80" t="s">
        <v>456</v>
      </c>
      <c r="J159" s="79">
        <v>4</v>
      </c>
      <c r="K159" s="79">
        <v>0</v>
      </c>
      <c r="L159" s="79">
        <v>0</v>
      </c>
      <c r="M159" s="79" t="s">
        <v>579</v>
      </c>
      <c r="N159" s="79" t="s">
        <v>452</v>
      </c>
      <c r="P159" s="79" t="s">
        <v>453</v>
      </c>
      <c r="Q159" s="79" t="s">
        <v>453</v>
      </c>
    </row>
    <row r="160" spans="1:17">
      <c r="A160" s="172">
        <f t="shared" si="3"/>
        <v>157</v>
      </c>
      <c r="B160" s="80" t="s">
        <v>734</v>
      </c>
      <c r="C160" s="80" t="s">
        <v>661</v>
      </c>
      <c r="F160" s="80" t="s">
        <v>655</v>
      </c>
      <c r="G160" s="80" t="s">
        <v>456</v>
      </c>
      <c r="H160" s="80">
        <v>0</v>
      </c>
      <c r="I160" s="80" t="s">
        <v>456</v>
      </c>
      <c r="J160" s="79">
        <v>4</v>
      </c>
      <c r="K160" s="79">
        <v>0</v>
      </c>
      <c r="L160" s="79">
        <v>0</v>
      </c>
      <c r="M160" s="79" t="s">
        <v>579</v>
      </c>
      <c r="N160" s="79" t="s">
        <v>452</v>
      </c>
      <c r="P160" s="79" t="s">
        <v>453</v>
      </c>
      <c r="Q160" s="79" t="s">
        <v>453</v>
      </c>
    </row>
    <row r="161" spans="1:17">
      <c r="A161" s="172">
        <f t="shared" si="3"/>
        <v>158</v>
      </c>
      <c r="B161" s="80" t="s">
        <v>735</v>
      </c>
      <c r="C161" s="80" t="s">
        <v>661</v>
      </c>
      <c r="F161" s="80" t="s">
        <v>655</v>
      </c>
      <c r="G161" s="80" t="s">
        <v>456</v>
      </c>
      <c r="H161" s="80">
        <v>0</v>
      </c>
      <c r="I161" s="80" t="s">
        <v>456</v>
      </c>
      <c r="J161" s="79">
        <v>4</v>
      </c>
      <c r="K161" s="79">
        <v>0</v>
      </c>
      <c r="L161" s="79">
        <v>0</v>
      </c>
      <c r="M161" s="79" t="s">
        <v>579</v>
      </c>
      <c r="N161" s="79" t="s">
        <v>452</v>
      </c>
      <c r="P161" s="79" t="s">
        <v>453</v>
      </c>
      <c r="Q161" s="79" t="s">
        <v>453</v>
      </c>
    </row>
    <row r="162" spans="1:17">
      <c r="A162" s="172">
        <f t="shared" si="3"/>
        <v>159</v>
      </c>
      <c r="B162" s="80" t="s">
        <v>736</v>
      </c>
      <c r="C162" s="80" t="s">
        <v>661</v>
      </c>
      <c r="F162" s="80" t="s">
        <v>655</v>
      </c>
      <c r="G162" s="80" t="s">
        <v>456</v>
      </c>
      <c r="H162" s="80">
        <v>0</v>
      </c>
      <c r="I162" s="80" t="s">
        <v>456</v>
      </c>
      <c r="J162" s="79">
        <v>4</v>
      </c>
      <c r="K162" s="79">
        <v>0</v>
      </c>
      <c r="L162" s="79">
        <v>0</v>
      </c>
      <c r="M162" s="79" t="s">
        <v>579</v>
      </c>
      <c r="N162" s="79" t="s">
        <v>452</v>
      </c>
      <c r="P162" s="79" t="s">
        <v>453</v>
      </c>
      <c r="Q162" s="79" t="s">
        <v>453</v>
      </c>
    </row>
    <row r="163" spans="1:17">
      <c r="A163" s="172">
        <f t="shared" si="3"/>
        <v>160</v>
      </c>
      <c r="B163" s="80" t="s">
        <v>737</v>
      </c>
      <c r="C163" s="80" t="s">
        <v>661</v>
      </c>
      <c r="F163" s="80" t="s">
        <v>655</v>
      </c>
      <c r="G163" s="80" t="s">
        <v>456</v>
      </c>
      <c r="H163" s="80">
        <v>0</v>
      </c>
      <c r="I163" s="80" t="s">
        <v>456</v>
      </c>
      <c r="J163" s="79">
        <v>4</v>
      </c>
      <c r="K163" s="79">
        <v>0</v>
      </c>
      <c r="L163" s="79">
        <v>0</v>
      </c>
      <c r="M163" s="79" t="s">
        <v>579</v>
      </c>
      <c r="N163" s="79" t="s">
        <v>452</v>
      </c>
      <c r="P163" s="79" t="s">
        <v>453</v>
      </c>
      <c r="Q163" s="79" t="s">
        <v>453</v>
      </c>
    </row>
    <row r="164" spans="1:17">
      <c r="A164" s="172">
        <f t="shared" si="3"/>
        <v>161</v>
      </c>
      <c r="B164" s="80" t="s">
        <v>738</v>
      </c>
      <c r="C164" s="80" t="s">
        <v>661</v>
      </c>
      <c r="F164" s="80" t="s">
        <v>655</v>
      </c>
      <c r="G164" s="80" t="s">
        <v>456</v>
      </c>
      <c r="H164" s="80">
        <v>0</v>
      </c>
      <c r="I164" s="80" t="s">
        <v>456</v>
      </c>
      <c r="J164" s="79">
        <v>4</v>
      </c>
      <c r="K164" s="79">
        <v>0</v>
      </c>
      <c r="L164" s="79">
        <v>0</v>
      </c>
      <c r="M164" s="79" t="s">
        <v>579</v>
      </c>
      <c r="N164" s="79" t="s">
        <v>452</v>
      </c>
      <c r="P164" s="79" t="s">
        <v>453</v>
      </c>
      <c r="Q164" s="79" t="s">
        <v>453</v>
      </c>
    </row>
    <row r="165" spans="1:17">
      <c r="A165" s="172">
        <f t="shared" si="3"/>
        <v>162</v>
      </c>
      <c r="B165" s="80" t="s">
        <v>739</v>
      </c>
      <c r="C165" s="80" t="s">
        <v>661</v>
      </c>
      <c r="F165" s="80" t="s">
        <v>655</v>
      </c>
      <c r="G165" s="80" t="s">
        <v>456</v>
      </c>
      <c r="H165" s="80">
        <v>0</v>
      </c>
      <c r="I165" s="80" t="s">
        <v>456</v>
      </c>
      <c r="J165" s="79">
        <v>4</v>
      </c>
      <c r="K165" s="79">
        <v>0</v>
      </c>
      <c r="L165" s="79">
        <v>0</v>
      </c>
      <c r="M165" s="79" t="s">
        <v>579</v>
      </c>
      <c r="N165" s="79" t="s">
        <v>452</v>
      </c>
      <c r="P165" s="79" t="s">
        <v>453</v>
      </c>
      <c r="Q165" s="79" t="s">
        <v>453</v>
      </c>
    </row>
    <row r="166" spans="1:17">
      <c r="A166" s="172">
        <f t="shared" si="3"/>
        <v>163</v>
      </c>
      <c r="B166" s="80" t="s">
        <v>740</v>
      </c>
      <c r="C166" s="80" t="s">
        <v>661</v>
      </c>
      <c r="F166" s="80" t="s">
        <v>655</v>
      </c>
      <c r="G166" s="80" t="s">
        <v>456</v>
      </c>
      <c r="H166" s="80">
        <v>0</v>
      </c>
      <c r="I166" s="80" t="s">
        <v>456</v>
      </c>
      <c r="J166" s="79">
        <v>4</v>
      </c>
      <c r="K166" s="79">
        <v>0</v>
      </c>
      <c r="L166" s="79">
        <v>0</v>
      </c>
      <c r="M166" s="79" t="s">
        <v>579</v>
      </c>
      <c r="N166" s="79" t="s">
        <v>452</v>
      </c>
      <c r="P166" s="79" t="s">
        <v>453</v>
      </c>
      <c r="Q166" s="79" t="s">
        <v>453</v>
      </c>
    </row>
    <row r="167" spans="1:17">
      <c r="A167" s="172">
        <f t="shared" si="3"/>
        <v>164</v>
      </c>
      <c r="B167" s="80" t="s">
        <v>741</v>
      </c>
      <c r="C167" s="80" t="s">
        <v>661</v>
      </c>
      <c r="F167" s="80" t="s">
        <v>655</v>
      </c>
      <c r="G167" s="80" t="s">
        <v>456</v>
      </c>
      <c r="H167" s="80">
        <v>0</v>
      </c>
      <c r="I167" s="80" t="s">
        <v>456</v>
      </c>
      <c r="J167" s="79">
        <v>4</v>
      </c>
      <c r="K167" s="79">
        <v>0</v>
      </c>
      <c r="L167" s="79">
        <v>0</v>
      </c>
      <c r="M167" s="79" t="s">
        <v>579</v>
      </c>
      <c r="N167" s="79" t="s">
        <v>452</v>
      </c>
      <c r="P167" s="79" t="s">
        <v>453</v>
      </c>
      <c r="Q167" s="79" t="s">
        <v>453</v>
      </c>
    </row>
    <row r="168" spans="1:17">
      <c r="A168" s="172">
        <f t="shared" si="3"/>
        <v>165</v>
      </c>
      <c r="B168" s="80" t="s">
        <v>742</v>
      </c>
      <c r="C168" s="80" t="s">
        <v>661</v>
      </c>
      <c r="F168" s="80" t="s">
        <v>655</v>
      </c>
      <c r="G168" s="80" t="s">
        <v>456</v>
      </c>
      <c r="H168" s="80">
        <v>0</v>
      </c>
      <c r="I168" s="80" t="s">
        <v>456</v>
      </c>
      <c r="J168" s="79">
        <v>4</v>
      </c>
      <c r="K168" s="79">
        <v>0</v>
      </c>
      <c r="L168" s="79">
        <v>0</v>
      </c>
      <c r="M168" s="79" t="s">
        <v>579</v>
      </c>
      <c r="N168" s="79" t="s">
        <v>452</v>
      </c>
      <c r="P168" s="79" t="s">
        <v>453</v>
      </c>
      <c r="Q168" s="79" t="s">
        <v>453</v>
      </c>
    </row>
    <row r="169" spans="1:17">
      <c r="A169" s="172">
        <f t="shared" si="3"/>
        <v>166</v>
      </c>
      <c r="B169" s="80" t="s">
        <v>743</v>
      </c>
      <c r="C169" s="80" t="s">
        <v>661</v>
      </c>
      <c r="F169" s="80" t="s">
        <v>655</v>
      </c>
      <c r="G169" s="80" t="s">
        <v>456</v>
      </c>
      <c r="H169" s="80">
        <v>0</v>
      </c>
      <c r="I169" s="80" t="s">
        <v>456</v>
      </c>
      <c r="J169" s="79">
        <v>4</v>
      </c>
      <c r="K169" s="79">
        <v>0</v>
      </c>
      <c r="L169" s="79">
        <v>0</v>
      </c>
      <c r="M169" s="79" t="s">
        <v>579</v>
      </c>
      <c r="N169" s="79" t="s">
        <v>452</v>
      </c>
      <c r="P169" s="79" t="s">
        <v>453</v>
      </c>
      <c r="Q169" s="79" t="s">
        <v>453</v>
      </c>
    </row>
    <row r="170" spans="1:17">
      <c r="A170" s="172">
        <f t="shared" si="3"/>
        <v>167</v>
      </c>
      <c r="B170" s="80" t="s">
        <v>744</v>
      </c>
      <c r="C170" s="80" t="s">
        <v>661</v>
      </c>
      <c r="F170" s="80" t="s">
        <v>655</v>
      </c>
      <c r="G170" s="80" t="s">
        <v>456</v>
      </c>
      <c r="H170" s="80">
        <v>0</v>
      </c>
      <c r="I170" s="80" t="s">
        <v>456</v>
      </c>
      <c r="J170" s="79">
        <v>4</v>
      </c>
      <c r="K170" s="79">
        <v>0</v>
      </c>
      <c r="L170" s="79">
        <v>0</v>
      </c>
      <c r="M170" s="79" t="s">
        <v>579</v>
      </c>
      <c r="N170" s="79" t="s">
        <v>452</v>
      </c>
      <c r="P170" s="79" t="s">
        <v>453</v>
      </c>
      <c r="Q170" s="79" t="s">
        <v>453</v>
      </c>
    </row>
    <row r="171" spans="1:17">
      <c r="A171" s="172">
        <f t="shared" si="3"/>
        <v>168</v>
      </c>
      <c r="B171" s="80" t="s">
        <v>745</v>
      </c>
      <c r="C171" s="80" t="s">
        <v>661</v>
      </c>
      <c r="F171" s="80" t="s">
        <v>655</v>
      </c>
      <c r="G171" s="80" t="s">
        <v>456</v>
      </c>
      <c r="H171" s="80">
        <v>0</v>
      </c>
      <c r="I171" s="80" t="s">
        <v>456</v>
      </c>
      <c r="J171" s="79">
        <v>4</v>
      </c>
      <c r="K171" s="79">
        <v>0</v>
      </c>
      <c r="L171" s="79">
        <v>0</v>
      </c>
      <c r="M171" s="79" t="s">
        <v>579</v>
      </c>
      <c r="N171" s="79" t="s">
        <v>452</v>
      </c>
      <c r="P171" s="79" t="s">
        <v>453</v>
      </c>
      <c r="Q171" s="79" t="s">
        <v>453</v>
      </c>
    </row>
    <row r="172" spans="1:17">
      <c r="A172" s="172">
        <f t="shared" si="3"/>
        <v>169</v>
      </c>
      <c r="B172" s="80" t="s">
        <v>746</v>
      </c>
      <c r="C172" s="80" t="s">
        <v>661</v>
      </c>
      <c r="F172" s="80" t="s">
        <v>655</v>
      </c>
      <c r="G172" s="80" t="s">
        <v>456</v>
      </c>
      <c r="H172" s="80">
        <v>0</v>
      </c>
      <c r="I172" s="80" t="s">
        <v>456</v>
      </c>
      <c r="J172" s="79">
        <v>12</v>
      </c>
      <c r="K172" s="79">
        <v>0</v>
      </c>
      <c r="L172" s="79">
        <v>0</v>
      </c>
      <c r="M172" s="79" t="s">
        <v>579</v>
      </c>
      <c r="N172" s="79" t="s">
        <v>452</v>
      </c>
      <c r="P172" s="79" t="s">
        <v>453</v>
      </c>
      <c r="Q172" s="79" t="s">
        <v>453</v>
      </c>
    </row>
    <row r="173" spans="1:17">
      <c r="A173" s="172">
        <f t="shared" si="3"/>
        <v>170</v>
      </c>
      <c r="B173" s="80" t="s">
        <v>747</v>
      </c>
      <c r="C173" s="80" t="s">
        <v>661</v>
      </c>
      <c r="F173" s="80" t="s">
        <v>655</v>
      </c>
      <c r="G173" s="80" t="s">
        <v>456</v>
      </c>
      <c r="H173" s="80">
        <v>0</v>
      </c>
      <c r="I173" s="80" t="s">
        <v>456</v>
      </c>
      <c r="J173" s="79">
        <v>12</v>
      </c>
      <c r="K173" s="79">
        <v>0</v>
      </c>
      <c r="L173" s="79">
        <v>0</v>
      </c>
      <c r="M173" s="79" t="s">
        <v>579</v>
      </c>
      <c r="N173" s="79" t="s">
        <v>452</v>
      </c>
      <c r="P173" s="79" t="s">
        <v>453</v>
      </c>
      <c r="Q173" s="79" t="s">
        <v>453</v>
      </c>
    </row>
    <row r="174" spans="1:17">
      <c r="A174" s="172">
        <f t="shared" si="3"/>
        <v>171</v>
      </c>
      <c r="B174" s="80" t="s">
        <v>748</v>
      </c>
      <c r="C174" s="80" t="s">
        <v>661</v>
      </c>
      <c r="F174" s="80" t="s">
        <v>655</v>
      </c>
      <c r="G174" s="80" t="s">
        <v>456</v>
      </c>
      <c r="H174" s="80">
        <v>0</v>
      </c>
      <c r="I174" s="80" t="s">
        <v>456</v>
      </c>
      <c r="J174" s="79">
        <v>12</v>
      </c>
      <c r="K174" s="79">
        <v>0</v>
      </c>
      <c r="L174" s="79">
        <v>0</v>
      </c>
      <c r="M174" s="79" t="s">
        <v>579</v>
      </c>
      <c r="N174" s="79" t="s">
        <v>452</v>
      </c>
      <c r="P174" s="79" t="s">
        <v>453</v>
      </c>
      <c r="Q174" s="79" t="s">
        <v>453</v>
      </c>
    </row>
    <row r="175" spans="1:17" ht="26.4">
      <c r="A175" s="172">
        <f t="shared" si="3"/>
        <v>172</v>
      </c>
      <c r="B175" s="80" t="s">
        <v>749</v>
      </c>
      <c r="C175" s="80" t="s">
        <v>661</v>
      </c>
      <c r="F175" s="80" t="s">
        <v>655</v>
      </c>
      <c r="G175" s="80" t="s">
        <v>456</v>
      </c>
      <c r="H175" s="80">
        <v>0</v>
      </c>
      <c r="I175" s="80" t="s">
        <v>456</v>
      </c>
      <c r="J175" s="79">
        <v>12</v>
      </c>
      <c r="K175" s="79">
        <v>0</v>
      </c>
      <c r="L175" s="79">
        <v>0</v>
      </c>
      <c r="M175" s="79" t="s">
        <v>579</v>
      </c>
      <c r="N175" s="79" t="s">
        <v>452</v>
      </c>
      <c r="P175" s="79" t="s">
        <v>453</v>
      </c>
      <c r="Q175" s="79" t="s">
        <v>453</v>
      </c>
    </row>
    <row r="176" spans="1:17">
      <c r="A176" s="172">
        <f t="shared" si="3"/>
        <v>173</v>
      </c>
      <c r="B176" s="80" t="s">
        <v>750</v>
      </c>
      <c r="C176" s="80" t="s">
        <v>661</v>
      </c>
      <c r="D176" s="80" t="s">
        <v>750</v>
      </c>
      <c r="E176" s="116" t="s">
        <v>751</v>
      </c>
      <c r="F176" s="80" t="s">
        <v>655</v>
      </c>
      <c r="G176" s="173" t="s">
        <v>456</v>
      </c>
      <c r="H176" s="80">
        <v>0</v>
      </c>
      <c r="I176" s="80" t="s">
        <v>456</v>
      </c>
      <c r="J176" s="79">
        <v>1</v>
      </c>
      <c r="K176" s="79">
        <v>0</v>
      </c>
      <c r="L176" s="79">
        <v>0</v>
      </c>
      <c r="M176" s="79" t="s">
        <v>579</v>
      </c>
      <c r="N176" s="79" t="s">
        <v>452</v>
      </c>
      <c r="P176" s="79" t="s">
        <v>453</v>
      </c>
      <c r="Q176" s="79" t="s">
        <v>453</v>
      </c>
    </row>
    <row r="177" spans="1:17">
      <c r="A177" s="172">
        <f t="shared" si="3"/>
        <v>174</v>
      </c>
      <c r="B177" s="80" t="s">
        <v>752</v>
      </c>
      <c r="C177" s="80" t="s">
        <v>661</v>
      </c>
      <c r="F177" s="80" t="s">
        <v>655</v>
      </c>
      <c r="G177" s="80" t="s">
        <v>456</v>
      </c>
      <c r="H177" s="80">
        <v>0</v>
      </c>
      <c r="I177" s="80" t="s">
        <v>456</v>
      </c>
      <c r="J177" s="79">
        <v>4</v>
      </c>
      <c r="K177" s="79">
        <v>0</v>
      </c>
      <c r="L177" s="79">
        <v>0</v>
      </c>
      <c r="M177" s="79" t="s">
        <v>579</v>
      </c>
      <c r="N177" s="79" t="s">
        <v>452</v>
      </c>
      <c r="P177" s="79" t="s">
        <v>453</v>
      </c>
      <c r="Q177" s="79" t="s">
        <v>453</v>
      </c>
    </row>
    <row r="178" spans="1:17">
      <c r="A178" s="172">
        <f t="shared" si="3"/>
        <v>175</v>
      </c>
      <c r="B178" s="80" t="s">
        <v>753</v>
      </c>
      <c r="C178" s="80" t="s">
        <v>661</v>
      </c>
      <c r="F178" s="80" t="s">
        <v>655</v>
      </c>
      <c r="G178" s="80" t="s">
        <v>456</v>
      </c>
      <c r="H178" s="80">
        <v>0</v>
      </c>
      <c r="I178" s="80" t="s">
        <v>456</v>
      </c>
      <c r="J178" s="79">
        <v>4</v>
      </c>
      <c r="K178" s="79">
        <v>0</v>
      </c>
      <c r="L178" s="79">
        <v>0</v>
      </c>
      <c r="M178" s="79" t="s">
        <v>579</v>
      </c>
      <c r="N178" s="79" t="s">
        <v>452</v>
      </c>
      <c r="P178" s="79" t="s">
        <v>453</v>
      </c>
      <c r="Q178" s="79" t="s">
        <v>453</v>
      </c>
    </row>
    <row r="179" spans="1:17">
      <c r="A179" s="172">
        <f t="shared" si="3"/>
        <v>176</v>
      </c>
      <c r="B179" s="80" t="s">
        <v>754</v>
      </c>
      <c r="C179" s="80" t="s">
        <v>661</v>
      </c>
      <c r="F179" s="80" t="s">
        <v>655</v>
      </c>
      <c r="G179" s="80" t="s">
        <v>456</v>
      </c>
      <c r="H179" s="80">
        <v>0</v>
      </c>
      <c r="I179" s="80" t="s">
        <v>456</v>
      </c>
      <c r="J179" s="79">
        <v>4</v>
      </c>
      <c r="K179" s="79">
        <v>0</v>
      </c>
      <c r="L179" s="79">
        <v>0</v>
      </c>
      <c r="M179" s="79" t="s">
        <v>579</v>
      </c>
      <c r="N179" s="79" t="s">
        <v>452</v>
      </c>
      <c r="P179" s="79" t="s">
        <v>453</v>
      </c>
      <c r="Q179" s="79" t="s">
        <v>453</v>
      </c>
    </row>
    <row r="180" spans="1:17">
      <c r="A180" s="172">
        <f t="shared" si="3"/>
        <v>177</v>
      </c>
      <c r="B180" s="80" t="s">
        <v>755</v>
      </c>
      <c r="C180" s="80" t="s">
        <v>661</v>
      </c>
      <c r="F180" s="80" t="s">
        <v>655</v>
      </c>
      <c r="G180" s="80" t="s">
        <v>456</v>
      </c>
      <c r="H180" s="80">
        <v>0</v>
      </c>
      <c r="I180" s="80" t="s">
        <v>456</v>
      </c>
      <c r="J180" s="79">
        <v>4</v>
      </c>
      <c r="K180" s="79">
        <v>0</v>
      </c>
      <c r="L180" s="79">
        <v>0</v>
      </c>
      <c r="M180" s="79" t="s">
        <v>579</v>
      </c>
      <c r="N180" s="79" t="s">
        <v>452</v>
      </c>
      <c r="P180" s="79" t="s">
        <v>453</v>
      </c>
      <c r="Q180" s="79" t="s">
        <v>453</v>
      </c>
    </row>
    <row r="181" spans="1:17">
      <c r="A181" s="172">
        <f t="shared" si="3"/>
        <v>178</v>
      </c>
      <c r="B181" s="80" t="s">
        <v>756</v>
      </c>
      <c r="C181" s="80" t="s">
        <v>661</v>
      </c>
      <c r="F181" s="80" t="s">
        <v>655</v>
      </c>
      <c r="G181" s="80" t="s">
        <v>456</v>
      </c>
      <c r="H181" s="80">
        <v>0</v>
      </c>
      <c r="I181" s="80" t="s">
        <v>456</v>
      </c>
      <c r="J181" s="79">
        <v>4</v>
      </c>
      <c r="K181" s="79">
        <v>0</v>
      </c>
      <c r="L181" s="79">
        <v>0</v>
      </c>
      <c r="M181" s="79" t="s">
        <v>579</v>
      </c>
      <c r="N181" s="79" t="s">
        <v>452</v>
      </c>
      <c r="P181" s="79" t="s">
        <v>453</v>
      </c>
      <c r="Q181" s="79" t="s">
        <v>453</v>
      </c>
    </row>
    <row r="182" spans="1:17">
      <c r="A182" s="172">
        <f t="shared" si="3"/>
        <v>179</v>
      </c>
      <c r="B182" s="80" t="s">
        <v>757</v>
      </c>
      <c r="C182" s="80" t="s">
        <v>661</v>
      </c>
      <c r="F182" s="80" t="s">
        <v>655</v>
      </c>
      <c r="G182" s="80" t="s">
        <v>456</v>
      </c>
      <c r="H182" s="80">
        <v>0</v>
      </c>
      <c r="I182" s="80" t="s">
        <v>456</v>
      </c>
      <c r="J182" s="79">
        <v>4</v>
      </c>
      <c r="K182" s="79">
        <v>0</v>
      </c>
      <c r="L182" s="79">
        <v>0</v>
      </c>
      <c r="M182" s="79" t="s">
        <v>579</v>
      </c>
      <c r="N182" s="79" t="s">
        <v>452</v>
      </c>
      <c r="P182" s="79" t="s">
        <v>453</v>
      </c>
      <c r="Q182" s="79" t="s">
        <v>453</v>
      </c>
    </row>
    <row r="183" spans="1:17">
      <c r="A183" s="172">
        <f t="shared" si="3"/>
        <v>180</v>
      </c>
      <c r="B183" s="80" t="s">
        <v>758</v>
      </c>
      <c r="C183" s="80" t="s">
        <v>661</v>
      </c>
      <c r="F183" s="80" t="s">
        <v>655</v>
      </c>
      <c r="G183" s="80" t="s">
        <v>456</v>
      </c>
      <c r="H183" s="80">
        <v>0</v>
      </c>
      <c r="I183" s="80" t="s">
        <v>456</v>
      </c>
      <c r="J183" s="79">
        <v>4</v>
      </c>
      <c r="K183" s="79">
        <v>0</v>
      </c>
      <c r="L183" s="79">
        <v>0</v>
      </c>
      <c r="M183" s="79" t="s">
        <v>579</v>
      </c>
      <c r="N183" s="79" t="s">
        <v>452</v>
      </c>
      <c r="P183" s="79" t="s">
        <v>453</v>
      </c>
      <c r="Q183" s="79" t="s">
        <v>453</v>
      </c>
    </row>
    <row r="184" spans="1:17">
      <c r="A184" s="172">
        <f t="shared" si="3"/>
        <v>181</v>
      </c>
      <c r="B184" s="80" t="s">
        <v>759</v>
      </c>
      <c r="C184" s="80" t="s">
        <v>661</v>
      </c>
      <c r="F184" s="80" t="s">
        <v>655</v>
      </c>
      <c r="G184" s="80" t="s">
        <v>456</v>
      </c>
      <c r="H184" s="80">
        <v>0</v>
      </c>
      <c r="I184" s="80" t="s">
        <v>456</v>
      </c>
      <c r="J184" s="79">
        <v>4</v>
      </c>
      <c r="K184" s="79">
        <v>0</v>
      </c>
      <c r="L184" s="79">
        <v>0</v>
      </c>
      <c r="M184" s="79" t="s">
        <v>579</v>
      </c>
      <c r="N184" s="79" t="s">
        <v>452</v>
      </c>
      <c r="P184" s="79" t="s">
        <v>453</v>
      </c>
      <c r="Q184" s="79" t="s">
        <v>453</v>
      </c>
    </row>
    <row r="185" spans="1:17">
      <c r="A185" s="172">
        <f t="shared" si="3"/>
        <v>182</v>
      </c>
      <c r="B185" s="80" t="s">
        <v>760</v>
      </c>
      <c r="C185" s="80" t="s">
        <v>661</v>
      </c>
      <c r="F185" s="80" t="s">
        <v>655</v>
      </c>
      <c r="G185" s="80" t="s">
        <v>456</v>
      </c>
      <c r="H185" s="80">
        <v>0</v>
      </c>
      <c r="I185" s="80" t="s">
        <v>456</v>
      </c>
      <c r="J185" s="79">
        <v>12</v>
      </c>
      <c r="K185" s="79">
        <v>0</v>
      </c>
      <c r="L185" s="79">
        <v>0</v>
      </c>
      <c r="M185" s="79" t="s">
        <v>579</v>
      </c>
      <c r="N185" s="79" t="s">
        <v>452</v>
      </c>
      <c r="P185" s="79" t="s">
        <v>453</v>
      </c>
      <c r="Q185" s="79" t="s">
        <v>453</v>
      </c>
    </row>
    <row r="186" spans="1:17" ht="26.4">
      <c r="A186" s="172">
        <f t="shared" si="3"/>
        <v>183</v>
      </c>
      <c r="B186" s="80" t="s">
        <v>761</v>
      </c>
      <c r="C186" s="80" t="s">
        <v>661</v>
      </c>
      <c r="F186" s="80" t="s">
        <v>655</v>
      </c>
      <c r="G186" s="80" t="s">
        <v>456</v>
      </c>
      <c r="H186" s="80">
        <v>0</v>
      </c>
      <c r="I186" s="80" t="s">
        <v>456</v>
      </c>
      <c r="J186" s="79">
        <v>12</v>
      </c>
      <c r="K186" s="79">
        <v>0</v>
      </c>
      <c r="L186" s="79">
        <v>0</v>
      </c>
      <c r="M186" s="79" t="s">
        <v>579</v>
      </c>
      <c r="N186" s="79" t="s">
        <v>452</v>
      </c>
      <c r="P186" s="79" t="s">
        <v>453</v>
      </c>
      <c r="Q186" s="79" t="s">
        <v>453</v>
      </c>
    </row>
    <row r="187" spans="1:17">
      <c r="A187" s="172">
        <f t="shared" si="3"/>
        <v>184</v>
      </c>
      <c r="B187" s="80" t="s">
        <v>762</v>
      </c>
      <c r="C187" s="80" t="s">
        <v>661</v>
      </c>
      <c r="F187" s="80" t="s">
        <v>655</v>
      </c>
      <c r="G187" s="80" t="s">
        <v>456</v>
      </c>
      <c r="H187" s="80">
        <v>0</v>
      </c>
      <c r="I187" s="80" t="s">
        <v>456</v>
      </c>
      <c r="J187" s="79">
        <v>12</v>
      </c>
      <c r="K187" s="79">
        <v>0</v>
      </c>
      <c r="L187" s="79">
        <v>0</v>
      </c>
      <c r="M187" s="79" t="s">
        <v>579</v>
      </c>
      <c r="N187" s="79" t="s">
        <v>452</v>
      </c>
      <c r="P187" s="79" t="s">
        <v>453</v>
      </c>
      <c r="Q187" s="79" t="s">
        <v>453</v>
      </c>
    </row>
    <row r="188" spans="1:17">
      <c r="A188" s="172">
        <f t="shared" si="3"/>
        <v>185</v>
      </c>
      <c r="B188" s="80" t="s">
        <v>763</v>
      </c>
      <c r="C188" s="80" t="s">
        <v>661</v>
      </c>
      <c r="F188" s="80" t="s">
        <v>655</v>
      </c>
      <c r="G188" s="80" t="s">
        <v>456</v>
      </c>
      <c r="H188" s="80">
        <v>0</v>
      </c>
      <c r="I188" s="80" t="s">
        <v>456</v>
      </c>
      <c r="J188" s="79">
        <v>12</v>
      </c>
      <c r="K188" s="79">
        <v>0</v>
      </c>
      <c r="L188" s="79">
        <v>0</v>
      </c>
      <c r="M188" s="79" t="s">
        <v>579</v>
      </c>
      <c r="N188" s="79" t="s">
        <v>452</v>
      </c>
      <c r="P188" s="79" t="s">
        <v>453</v>
      </c>
      <c r="Q188" s="79" t="s">
        <v>453</v>
      </c>
    </row>
    <row r="189" spans="1:17">
      <c r="A189" s="172">
        <f t="shared" si="3"/>
        <v>186</v>
      </c>
      <c r="B189" s="80" t="s">
        <v>764</v>
      </c>
      <c r="C189" s="80" t="s">
        <v>661</v>
      </c>
      <c r="F189" s="80" t="s">
        <v>655</v>
      </c>
      <c r="G189" s="80" t="s">
        <v>456</v>
      </c>
      <c r="H189" s="80">
        <v>0</v>
      </c>
      <c r="I189" s="80" t="s">
        <v>456</v>
      </c>
      <c r="J189" s="79">
        <v>12</v>
      </c>
      <c r="K189" s="79">
        <v>0</v>
      </c>
      <c r="L189" s="79">
        <v>0</v>
      </c>
      <c r="M189" s="79" t="s">
        <v>579</v>
      </c>
      <c r="N189" s="79" t="s">
        <v>452</v>
      </c>
      <c r="P189" s="79" t="s">
        <v>453</v>
      </c>
      <c r="Q189" s="79" t="s">
        <v>453</v>
      </c>
    </row>
    <row r="190" spans="1:17">
      <c r="A190" s="172">
        <f t="shared" si="3"/>
        <v>187</v>
      </c>
      <c r="B190" s="80" t="s">
        <v>765</v>
      </c>
      <c r="C190" s="80" t="s">
        <v>661</v>
      </c>
      <c r="F190" s="80" t="s">
        <v>655</v>
      </c>
      <c r="G190" s="80" t="s">
        <v>456</v>
      </c>
      <c r="H190" s="80">
        <v>0</v>
      </c>
      <c r="I190" s="80" t="s">
        <v>456</v>
      </c>
      <c r="J190" s="79">
        <v>12</v>
      </c>
      <c r="K190" s="79">
        <v>0</v>
      </c>
      <c r="L190" s="79">
        <v>0</v>
      </c>
      <c r="M190" s="79" t="s">
        <v>579</v>
      </c>
      <c r="N190" s="79" t="s">
        <v>452</v>
      </c>
      <c r="P190" s="79" t="s">
        <v>453</v>
      </c>
      <c r="Q190" s="79" t="s">
        <v>453</v>
      </c>
    </row>
    <row r="191" spans="1:17" ht="26.4">
      <c r="A191" s="172">
        <f t="shared" si="3"/>
        <v>188</v>
      </c>
      <c r="B191" s="80" t="s">
        <v>766</v>
      </c>
      <c r="C191" s="80" t="s">
        <v>661</v>
      </c>
      <c r="F191" s="80" t="s">
        <v>655</v>
      </c>
      <c r="G191" s="80" t="s">
        <v>456</v>
      </c>
      <c r="H191" s="80">
        <v>0</v>
      </c>
      <c r="I191" s="80" t="s">
        <v>456</v>
      </c>
      <c r="J191" s="79">
        <v>12</v>
      </c>
      <c r="K191" s="79">
        <v>0</v>
      </c>
      <c r="L191" s="79">
        <v>0</v>
      </c>
      <c r="M191" s="79" t="s">
        <v>579</v>
      </c>
      <c r="N191" s="79" t="s">
        <v>452</v>
      </c>
      <c r="P191" s="79" t="s">
        <v>453</v>
      </c>
      <c r="Q191" s="79" t="s">
        <v>453</v>
      </c>
    </row>
    <row r="192" spans="1:17" ht="26.4">
      <c r="A192" s="172">
        <f t="shared" si="3"/>
        <v>189</v>
      </c>
      <c r="B192" s="80" t="s">
        <v>767</v>
      </c>
      <c r="C192" s="80" t="s">
        <v>661</v>
      </c>
      <c r="F192" s="80" t="s">
        <v>655</v>
      </c>
      <c r="G192" s="80" t="s">
        <v>456</v>
      </c>
      <c r="H192" s="80">
        <v>0</v>
      </c>
      <c r="I192" s="80" t="s">
        <v>456</v>
      </c>
      <c r="J192" s="79">
        <v>12</v>
      </c>
      <c r="K192" s="79">
        <v>0</v>
      </c>
      <c r="L192" s="79">
        <v>0</v>
      </c>
      <c r="M192" s="79" t="s">
        <v>579</v>
      </c>
      <c r="N192" s="79" t="s">
        <v>452</v>
      </c>
      <c r="P192" s="79" t="s">
        <v>453</v>
      </c>
      <c r="Q192" s="79" t="s">
        <v>453</v>
      </c>
    </row>
    <row r="193" spans="1:17">
      <c r="A193" s="172">
        <f t="shared" si="3"/>
        <v>190</v>
      </c>
      <c r="B193" s="80" t="s">
        <v>768</v>
      </c>
      <c r="C193" s="80" t="s">
        <v>661</v>
      </c>
      <c r="D193" s="80" t="s">
        <v>768</v>
      </c>
      <c r="E193" s="80" t="s">
        <v>769</v>
      </c>
      <c r="F193" s="80" t="s">
        <v>655</v>
      </c>
      <c r="G193" s="80" t="s">
        <v>456</v>
      </c>
      <c r="H193" s="80">
        <v>0</v>
      </c>
      <c r="I193" s="80" t="s">
        <v>456</v>
      </c>
      <c r="J193" s="79">
        <v>4</v>
      </c>
      <c r="K193" s="79">
        <v>0</v>
      </c>
      <c r="L193" s="79">
        <v>0</v>
      </c>
      <c r="M193" s="79" t="s">
        <v>579</v>
      </c>
      <c r="N193" s="79" t="s">
        <v>452</v>
      </c>
      <c r="P193" s="79" t="s">
        <v>453</v>
      </c>
      <c r="Q193" s="79" t="s">
        <v>453</v>
      </c>
    </row>
    <row r="194" spans="1:17" ht="26.4">
      <c r="A194" s="172">
        <f t="shared" si="3"/>
        <v>191</v>
      </c>
      <c r="B194" s="80" t="s">
        <v>770</v>
      </c>
      <c r="C194" s="80" t="s">
        <v>661</v>
      </c>
      <c r="F194" s="80" t="s">
        <v>655</v>
      </c>
      <c r="G194" s="80" t="s">
        <v>456</v>
      </c>
      <c r="H194" s="80">
        <v>0</v>
      </c>
      <c r="I194" s="80" t="s">
        <v>456</v>
      </c>
      <c r="J194" s="79">
        <v>12</v>
      </c>
      <c r="K194" s="79">
        <v>0</v>
      </c>
      <c r="L194" s="79">
        <v>0</v>
      </c>
      <c r="M194" s="79" t="s">
        <v>579</v>
      </c>
      <c r="N194" s="79" t="s">
        <v>452</v>
      </c>
      <c r="P194" s="79" t="s">
        <v>453</v>
      </c>
      <c r="Q194" s="79" t="s">
        <v>453</v>
      </c>
    </row>
    <row r="195" spans="1:17" ht="26.4">
      <c r="A195" s="172">
        <f t="shared" si="3"/>
        <v>192</v>
      </c>
      <c r="B195" s="80" t="s">
        <v>771</v>
      </c>
      <c r="C195" s="80" t="s">
        <v>661</v>
      </c>
      <c r="F195" s="80" t="s">
        <v>655</v>
      </c>
      <c r="G195" s="80" t="s">
        <v>456</v>
      </c>
      <c r="H195" s="80">
        <v>0</v>
      </c>
      <c r="I195" s="80" t="s">
        <v>456</v>
      </c>
      <c r="J195" s="79">
        <v>12</v>
      </c>
      <c r="K195" s="79">
        <v>0</v>
      </c>
      <c r="L195" s="79">
        <v>0</v>
      </c>
      <c r="M195" s="79" t="s">
        <v>579</v>
      </c>
      <c r="N195" s="79" t="s">
        <v>452</v>
      </c>
      <c r="P195" s="79" t="s">
        <v>453</v>
      </c>
      <c r="Q195" s="79" t="s">
        <v>453</v>
      </c>
    </row>
    <row r="196" spans="1:17" ht="26.4">
      <c r="A196" s="172">
        <f t="shared" si="3"/>
        <v>193</v>
      </c>
      <c r="B196" s="80" t="s">
        <v>772</v>
      </c>
      <c r="C196" s="80" t="s">
        <v>661</v>
      </c>
      <c r="F196" s="80" t="s">
        <v>655</v>
      </c>
      <c r="G196" s="80" t="s">
        <v>456</v>
      </c>
      <c r="H196" s="80">
        <v>0</v>
      </c>
      <c r="I196" s="80" t="s">
        <v>456</v>
      </c>
      <c r="J196" s="79">
        <v>12</v>
      </c>
      <c r="K196" s="79">
        <v>0</v>
      </c>
      <c r="L196" s="79">
        <v>0</v>
      </c>
      <c r="M196" s="79" t="s">
        <v>579</v>
      </c>
      <c r="N196" s="79" t="s">
        <v>452</v>
      </c>
      <c r="P196" s="79" t="s">
        <v>453</v>
      </c>
      <c r="Q196" s="79" t="s">
        <v>453</v>
      </c>
    </row>
    <row r="197" spans="1:17" ht="26.4">
      <c r="A197" s="172">
        <f t="shared" si="3"/>
        <v>194</v>
      </c>
      <c r="B197" s="80" t="s">
        <v>773</v>
      </c>
      <c r="C197" s="80" t="s">
        <v>661</v>
      </c>
      <c r="F197" s="80" t="s">
        <v>655</v>
      </c>
      <c r="G197" s="80" t="s">
        <v>456</v>
      </c>
      <c r="H197" s="80">
        <v>0</v>
      </c>
      <c r="I197" s="80" t="s">
        <v>456</v>
      </c>
      <c r="J197" s="79">
        <v>12</v>
      </c>
      <c r="K197" s="79">
        <v>0</v>
      </c>
      <c r="L197" s="79">
        <v>0</v>
      </c>
      <c r="M197" s="79" t="s">
        <v>579</v>
      </c>
      <c r="N197" s="79" t="s">
        <v>452</v>
      </c>
      <c r="P197" s="79" t="s">
        <v>453</v>
      </c>
      <c r="Q197" s="79" t="s">
        <v>453</v>
      </c>
    </row>
    <row r="198" spans="1:17" ht="26.4">
      <c r="A198" s="172">
        <f t="shared" si="3"/>
        <v>195</v>
      </c>
      <c r="B198" s="80" t="s">
        <v>774</v>
      </c>
      <c r="C198" s="80" t="s">
        <v>661</v>
      </c>
      <c r="F198" s="80" t="s">
        <v>655</v>
      </c>
      <c r="G198" s="80" t="s">
        <v>456</v>
      </c>
      <c r="H198" s="80">
        <v>0</v>
      </c>
      <c r="I198" s="80" t="s">
        <v>456</v>
      </c>
      <c r="J198" s="79">
        <v>12</v>
      </c>
      <c r="K198" s="79">
        <v>0</v>
      </c>
      <c r="L198" s="79">
        <v>0</v>
      </c>
      <c r="M198" s="79" t="s">
        <v>579</v>
      </c>
      <c r="N198" s="79" t="s">
        <v>452</v>
      </c>
      <c r="P198" s="79" t="s">
        <v>453</v>
      </c>
      <c r="Q198" s="79" t="s">
        <v>453</v>
      </c>
    </row>
    <row r="199" spans="1:17">
      <c r="A199" s="172">
        <f t="shared" si="3"/>
        <v>196</v>
      </c>
      <c r="B199" s="80" t="s">
        <v>775</v>
      </c>
      <c r="C199" s="80" t="s">
        <v>661</v>
      </c>
      <c r="F199" s="80" t="s">
        <v>655</v>
      </c>
      <c r="G199" s="80" t="s">
        <v>456</v>
      </c>
      <c r="H199" s="80">
        <v>0</v>
      </c>
      <c r="I199" s="80" t="s">
        <v>456</v>
      </c>
      <c r="J199" s="79">
        <v>12</v>
      </c>
      <c r="K199" s="79">
        <v>0</v>
      </c>
      <c r="L199" s="79">
        <v>0</v>
      </c>
      <c r="M199" s="79" t="s">
        <v>579</v>
      </c>
      <c r="N199" s="79" t="s">
        <v>452</v>
      </c>
      <c r="P199" s="79" t="s">
        <v>453</v>
      </c>
      <c r="Q199" s="79" t="s">
        <v>453</v>
      </c>
    </row>
    <row r="200" spans="1:17" ht="26.4">
      <c r="A200" s="172">
        <f t="shared" si="3"/>
        <v>197</v>
      </c>
      <c r="B200" s="80" t="s">
        <v>776</v>
      </c>
      <c r="C200" s="80" t="s">
        <v>661</v>
      </c>
      <c r="F200" s="80" t="s">
        <v>655</v>
      </c>
      <c r="G200" s="80" t="s">
        <v>456</v>
      </c>
      <c r="H200" s="80">
        <v>0</v>
      </c>
      <c r="I200" s="80" t="s">
        <v>456</v>
      </c>
      <c r="J200" s="79">
        <v>12</v>
      </c>
      <c r="K200" s="79">
        <v>0</v>
      </c>
      <c r="L200" s="79">
        <v>0</v>
      </c>
      <c r="M200" s="79" t="s">
        <v>579</v>
      </c>
      <c r="N200" s="79" t="s">
        <v>452</v>
      </c>
      <c r="P200" s="79" t="s">
        <v>453</v>
      </c>
      <c r="Q200" s="79" t="s">
        <v>453</v>
      </c>
    </row>
    <row r="201" spans="1:17" ht="26.4">
      <c r="A201" s="172">
        <f t="shared" si="3"/>
        <v>198</v>
      </c>
      <c r="B201" s="80" t="s">
        <v>777</v>
      </c>
      <c r="C201" s="80" t="s">
        <v>661</v>
      </c>
      <c r="F201" s="80" t="s">
        <v>655</v>
      </c>
      <c r="G201" s="80" t="s">
        <v>456</v>
      </c>
      <c r="H201" s="80">
        <v>0</v>
      </c>
      <c r="I201" s="80" t="s">
        <v>456</v>
      </c>
      <c r="J201" s="79">
        <v>12</v>
      </c>
      <c r="K201" s="79">
        <v>0</v>
      </c>
      <c r="L201" s="79">
        <v>0</v>
      </c>
      <c r="M201" s="79" t="s">
        <v>579</v>
      </c>
      <c r="N201" s="79" t="s">
        <v>452</v>
      </c>
      <c r="P201" s="79" t="s">
        <v>453</v>
      </c>
      <c r="Q201" s="79" t="s">
        <v>453</v>
      </c>
    </row>
    <row r="202" spans="1:17">
      <c r="A202" s="172">
        <f t="shared" si="3"/>
        <v>199</v>
      </c>
      <c r="B202" s="80" t="s">
        <v>778</v>
      </c>
      <c r="C202" s="80" t="s">
        <v>661</v>
      </c>
      <c r="F202" s="80" t="s">
        <v>655</v>
      </c>
      <c r="G202" s="80" t="s">
        <v>456</v>
      </c>
      <c r="H202" s="80">
        <v>0</v>
      </c>
      <c r="I202" s="80" t="s">
        <v>456</v>
      </c>
      <c r="J202" s="79">
        <v>4</v>
      </c>
      <c r="K202" s="79">
        <v>0</v>
      </c>
      <c r="L202" s="79">
        <v>0</v>
      </c>
      <c r="M202" s="79" t="s">
        <v>579</v>
      </c>
      <c r="N202" s="79" t="s">
        <v>452</v>
      </c>
      <c r="P202" s="79" t="s">
        <v>453</v>
      </c>
      <c r="Q202" s="79" t="s">
        <v>453</v>
      </c>
    </row>
    <row r="203" spans="1:17">
      <c r="A203" s="172">
        <f t="shared" si="3"/>
        <v>200</v>
      </c>
      <c r="B203" s="80" t="s">
        <v>779</v>
      </c>
      <c r="C203" s="80" t="s">
        <v>661</v>
      </c>
      <c r="F203" s="80" t="s">
        <v>655</v>
      </c>
      <c r="G203" s="80" t="s">
        <v>456</v>
      </c>
      <c r="H203" s="80">
        <v>0</v>
      </c>
      <c r="I203" s="80" t="s">
        <v>456</v>
      </c>
      <c r="J203" s="79">
        <v>4</v>
      </c>
      <c r="K203" s="79">
        <v>0</v>
      </c>
      <c r="L203" s="79">
        <v>0</v>
      </c>
      <c r="M203" s="79" t="s">
        <v>579</v>
      </c>
      <c r="N203" s="79" t="s">
        <v>452</v>
      </c>
      <c r="P203" s="79" t="s">
        <v>453</v>
      </c>
      <c r="Q203" s="79" t="s">
        <v>453</v>
      </c>
    </row>
    <row r="204" spans="1:17">
      <c r="A204" s="172">
        <f t="shared" si="3"/>
        <v>201</v>
      </c>
      <c r="B204" s="80" t="s">
        <v>780</v>
      </c>
      <c r="C204" s="80" t="s">
        <v>661</v>
      </c>
      <c r="F204" s="80" t="s">
        <v>655</v>
      </c>
      <c r="G204" s="80" t="s">
        <v>456</v>
      </c>
      <c r="H204" s="80">
        <v>0</v>
      </c>
      <c r="I204" s="80" t="s">
        <v>456</v>
      </c>
      <c r="J204" s="79">
        <v>4</v>
      </c>
      <c r="K204" s="79">
        <v>0</v>
      </c>
      <c r="L204" s="79">
        <v>0</v>
      </c>
      <c r="M204" s="79" t="s">
        <v>579</v>
      </c>
      <c r="N204" s="79" t="s">
        <v>452</v>
      </c>
      <c r="P204" s="79" t="s">
        <v>453</v>
      </c>
      <c r="Q204" s="79" t="s">
        <v>453</v>
      </c>
    </row>
    <row r="205" spans="1:17">
      <c r="A205" s="172">
        <f t="shared" si="3"/>
        <v>202</v>
      </c>
      <c r="B205" s="80" t="s">
        <v>781</v>
      </c>
      <c r="C205" s="80" t="s">
        <v>661</v>
      </c>
      <c r="F205" s="80" t="s">
        <v>655</v>
      </c>
      <c r="G205" s="80" t="s">
        <v>456</v>
      </c>
      <c r="H205" s="80">
        <v>0</v>
      </c>
      <c r="I205" s="80" t="s">
        <v>456</v>
      </c>
      <c r="J205" s="79">
        <v>4</v>
      </c>
      <c r="K205" s="79">
        <v>0</v>
      </c>
      <c r="L205" s="79">
        <v>0</v>
      </c>
      <c r="M205" s="79" t="s">
        <v>579</v>
      </c>
      <c r="N205" s="79" t="s">
        <v>452</v>
      </c>
      <c r="P205" s="79" t="s">
        <v>453</v>
      </c>
      <c r="Q205" s="79" t="s">
        <v>453</v>
      </c>
    </row>
    <row r="206" spans="1:17">
      <c r="A206" s="172">
        <f t="shared" si="3"/>
        <v>203</v>
      </c>
      <c r="B206" s="80" t="s">
        <v>782</v>
      </c>
      <c r="C206" s="80" t="s">
        <v>661</v>
      </c>
      <c r="F206" s="80" t="s">
        <v>655</v>
      </c>
      <c r="G206" s="80" t="s">
        <v>456</v>
      </c>
      <c r="H206" s="80">
        <v>0</v>
      </c>
      <c r="I206" s="80" t="s">
        <v>456</v>
      </c>
      <c r="J206" s="79">
        <v>4</v>
      </c>
      <c r="K206" s="79">
        <v>0</v>
      </c>
      <c r="L206" s="79">
        <v>0</v>
      </c>
      <c r="M206" s="79" t="s">
        <v>579</v>
      </c>
      <c r="N206" s="79" t="s">
        <v>452</v>
      </c>
      <c r="P206" s="79" t="s">
        <v>453</v>
      </c>
      <c r="Q206" s="79" t="s">
        <v>453</v>
      </c>
    </row>
    <row r="207" spans="1:17">
      <c r="A207" s="172">
        <f t="shared" si="3"/>
        <v>204</v>
      </c>
      <c r="B207" s="80" t="s">
        <v>783</v>
      </c>
      <c r="C207" s="80" t="s">
        <v>661</v>
      </c>
      <c r="F207" s="80" t="s">
        <v>655</v>
      </c>
      <c r="G207" s="80" t="s">
        <v>456</v>
      </c>
      <c r="H207" s="80">
        <v>0</v>
      </c>
      <c r="I207" s="80" t="s">
        <v>456</v>
      </c>
      <c r="J207" s="79">
        <v>4</v>
      </c>
      <c r="K207" s="79">
        <v>0</v>
      </c>
      <c r="L207" s="79">
        <v>0</v>
      </c>
      <c r="M207" s="79" t="s">
        <v>579</v>
      </c>
      <c r="N207" s="79" t="s">
        <v>452</v>
      </c>
      <c r="P207" s="79" t="s">
        <v>453</v>
      </c>
      <c r="Q207" s="79" t="s">
        <v>453</v>
      </c>
    </row>
    <row r="208" spans="1:17">
      <c r="A208" s="172">
        <f t="shared" si="3"/>
        <v>205</v>
      </c>
      <c r="B208" s="80" t="s">
        <v>784</v>
      </c>
      <c r="C208" s="80" t="s">
        <v>661</v>
      </c>
      <c r="F208" s="80" t="s">
        <v>655</v>
      </c>
      <c r="G208" s="80" t="s">
        <v>456</v>
      </c>
      <c r="H208" s="80">
        <v>0</v>
      </c>
      <c r="I208" s="80" t="s">
        <v>456</v>
      </c>
      <c r="J208" s="79">
        <v>4</v>
      </c>
      <c r="K208" s="79">
        <v>0</v>
      </c>
      <c r="L208" s="79">
        <v>0</v>
      </c>
      <c r="M208" s="79" t="s">
        <v>579</v>
      </c>
      <c r="N208" s="79" t="s">
        <v>452</v>
      </c>
      <c r="P208" s="79" t="s">
        <v>453</v>
      </c>
      <c r="Q208" s="79" t="s">
        <v>453</v>
      </c>
    </row>
    <row r="209" spans="1:17">
      <c r="A209" s="172">
        <f t="shared" si="3"/>
        <v>206</v>
      </c>
      <c r="B209" s="80" t="s">
        <v>785</v>
      </c>
      <c r="C209" s="80" t="s">
        <v>661</v>
      </c>
      <c r="F209" s="80" t="s">
        <v>655</v>
      </c>
      <c r="G209" s="80" t="s">
        <v>456</v>
      </c>
      <c r="H209" s="80">
        <v>0</v>
      </c>
      <c r="I209" s="80" t="s">
        <v>456</v>
      </c>
      <c r="J209" s="79">
        <v>4</v>
      </c>
      <c r="K209" s="79">
        <v>0</v>
      </c>
      <c r="L209" s="79">
        <v>0</v>
      </c>
      <c r="M209" s="79" t="s">
        <v>579</v>
      </c>
      <c r="N209" s="79" t="s">
        <v>452</v>
      </c>
      <c r="P209" s="79" t="s">
        <v>453</v>
      </c>
      <c r="Q209" s="79" t="s">
        <v>453</v>
      </c>
    </row>
    <row r="210" spans="1:17">
      <c r="A210" s="172">
        <f t="shared" si="3"/>
        <v>207</v>
      </c>
      <c r="B210" s="80" t="s">
        <v>786</v>
      </c>
      <c r="C210" s="80" t="s">
        <v>661</v>
      </c>
      <c r="F210" s="80" t="s">
        <v>655</v>
      </c>
      <c r="G210" s="80" t="s">
        <v>456</v>
      </c>
      <c r="H210" s="80">
        <v>0</v>
      </c>
      <c r="I210" s="80" t="s">
        <v>456</v>
      </c>
      <c r="J210" s="79">
        <v>4</v>
      </c>
      <c r="K210" s="79">
        <v>0</v>
      </c>
      <c r="L210" s="79">
        <v>0</v>
      </c>
      <c r="M210" s="79" t="s">
        <v>579</v>
      </c>
      <c r="N210" s="79" t="s">
        <v>452</v>
      </c>
      <c r="P210" s="79" t="s">
        <v>453</v>
      </c>
      <c r="Q210" s="79" t="s">
        <v>453</v>
      </c>
    </row>
    <row r="211" spans="1:17">
      <c r="A211" s="172">
        <f t="shared" si="3"/>
        <v>208</v>
      </c>
      <c r="B211" s="80" t="s">
        <v>787</v>
      </c>
      <c r="C211" s="80" t="s">
        <v>661</v>
      </c>
      <c r="F211" s="80" t="s">
        <v>655</v>
      </c>
      <c r="G211" s="80" t="s">
        <v>456</v>
      </c>
      <c r="H211" s="80">
        <v>0</v>
      </c>
      <c r="I211" s="80" t="s">
        <v>456</v>
      </c>
      <c r="J211" s="79">
        <v>4</v>
      </c>
      <c r="K211" s="79">
        <v>0</v>
      </c>
      <c r="L211" s="79">
        <v>0</v>
      </c>
      <c r="M211" s="79" t="s">
        <v>579</v>
      </c>
      <c r="N211" s="79" t="s">
        <v>452</v>
      </c>
      <c r="P211" s="79" t="s">
        <v>453</v>
      </c>
      <c r="Q211" s="79" t="s">
        <v>453</v>
      </c>
    </row>
    <row r="212" spans="1:17" ht="26.4">
      <c r="A212" s="172">
        <f t="shared" si="3"/>
        <v>209</v>
      </c>
      <c r="B212" s="80" t="s">
        <v>788</v>
      </c>
      <c r="C212" s="80" t="s">
        <v>661</v>
      </c>
      <c r="F212" s="80" t="s">
        <v>655</v>
      </c>
      <c r="G212" s="80" t="s">
        <v>456</v>
      </c>
      <c r="H212" s="80">
        <v>0</v>
      </c>
      <c r="I212" s="80" t="s">
        <v>456</v>
      </c>
      <c r="J212" s="79">
        <v>4</v>
      </c>
      <c r="K212" s="79">
        <v>0</v>
      </c>
      <c r="L212" s="79">
        <v>0</v>
      </c>
      <c r="M212" s="79" t="s">
        <v>579</v>
      </c>
      <c r="N212" s="79" t="s">
        <v>452</v>
      </c>
      <c r="P212" s="79" t="s">
        <v>453</v>
      </c>
      <c r="Q212" s="79" t="s">
        <v>453</v>
      </c>
    </row>
    <row r="213" spans="1:17" ht="26.4">
      <c r="A213" s="172">
        <f t="shared" si="3"/>
        <v>210</v>
      </c>
      <c r="B213" s="80" t="s">
        <v>789</v>
      </c>
      <c r="C213" s="80" t="s">
        <v>661</v>
      </c>
      <c r="F213" s="80" t="s">
        <v>655</v>
      </c>
      <c r="G213" s="80" t="s">
        <v>456</v>
      </c>
      <c r="H213" s="80">
        <v>0</v>
      </c>
      <c r="I213" s="80" t="s">
        <v>456</v>
      </c>
      <c r="J213" s="79">
        <v>4</v>
      </c>
      <c r="K213" s="79">
        <v>0</v>
      </c>
      <c r="L213" s="79">
        <v>0</v>
      </c>
      <c r="M213" s="79" t="s">
        <v>579</v>
      </c>
      <c r="N213" s="79" t="s">
        <v>452</v>
      </c>
      <c r="P213" s="79" t="s">
        <v>453</v>
      </c>
      <c r="Q213" s="79" t="s">
        <v>453</v>
      </c>
    </row>
    <row r="214" spans="1:17">
      <c r="A214" s="172">
        <f t="shared" ref="A214:A277" si="4">A213+1</f>
        <v>211</v>
      </c>
      <c r="B214" s="80" t="s">
        <v>790</v>
      </c>
      <c r="C214" s="80" t="s">
        <v>661</v>
      </c>
      <c r="F214" s="80" t="s">
        <v>655</v>
      </c>
      <c r="G214" s="80" t="s">
        <v>456</v>
      </c>
      <c r="H214" s="80">
        <v>0</v>
      </c>
      <c r="I214" s="80" t="s">
        <v>456</v>
      </c>
      <c r="J214" s="79">
        <v>4</v>
      </c>
      <c r="K214" s="79">
        <v>0</v>
      </c>
      <c r="L214" s="79">
        <v>0</v>
      </c>
      <c r="M214" s="79" t="s">
        <v>579</v>
      </c>
      <c r="N214" s="79" t="s">
        <v>452</v>
      </c>
      <c r="P214" s="79" t="s">
        <v>453</v>
      </c>
      <c r="Q214" s="79" t="s">
        <v>453</v>
      </c>
    </row>
    <row r="215" spans="1:17">
      <c r="A215" s="172">
        <f t="shared" si="4"/>
        <v>212</v>
      </c>
      <c r="B215" s="80" t="s">
        <v>791</v>
      </c>
      <c r="C215" s="80" t="s">
        <v>661</v>
      </c>
      <c r="F215" s="80" t="s">
        <v>655</v>
      </c>
      <c r="G215" s="80" t="s">
        <v>456</v>
      </c>
      <c r="H215" s="80">
        <v>0</v>
      </c>
      <c r="I215" s="80" t="s">
        <v>456</v>
      </c>
      <c r="J215" s="79">
        <v>4</v>
      </c>
      <c r="K215" s="79">
        <v>0</v>
      </c>
      <c r="L215" s="79">
        <v>0</v>
      </c>
      <c r="M215" s="79" t="s">
        <v>579</v>
      </c>
      <c r="N215" s="79" t="s">
        <v>452</v>
      </c>
      <c r="P215" s="79" t="s">
        <v>453</v>
      </c>
      <c r="Q215" s="79" t="s">
        <v>453</v>
      </c>
    </row>
    <row r="216" spans="1:17">
      <c r="A216" s="172">
        <f t="shared" si="4"/>
        <v>213</v>
      </c>
      <c r="B216" s="80" t="s">
        <v>792</v>
      </c>
      <c r="C216" s="80" t="s">
        <v>661</v>
      </c>
      <c r="D216" s="80" t="s">
        <v>792</v>
      </c>
      <c r="E216" s="116" t="s">
        <v>793</v>
      </c>
      <c r="F216" s="80" t="s">
        <v>655</v>
      </c>
      <c r="G216" s="80" t="s">
        <v>456</v>
      </c>
      <c r="H216" s="80">
        <v>0</v>
      </c>
      <c r="I216" s="80" t="s">
        <v>456</v>
      </c>
      <c r="J216" s="79">
        <v>12</v>
      </c>
      <c r="K216" s="79">
        <v>0</v>
      </c>
      <c r="L216" s="79">
        <v>0</v>
      </c>
      <c r="M216" s="79" t="s">
        <v>579</v>
      </c>
      <c r="N216" s="79" t="s">
        <v>452</v>
      </c>
      <c r="P216" s="79" t="s">
        <v>453</v>
      </c>
      <c r="Q216" s="79" t="s">
        <v>453</v>
      </c>
    </row>
    <row r="217" spans="1:17">
      <c r="A217" s="172">
        <f t="shared" si="4"/>
        <v>214</v>
      </c>
      <c r="B217" s="80" t="s">
        <v>794</v>
      </c>
      <c r="C217" s="80" t="s">
        <v>661</v>
      </c>
      <c r="F217" s="80" t="s">
        <v>655</v>
      </c>
      <c r="G217" s="80" t="s">
        <v>456</v>
      </c>
      <c r="H217" s="80">
        <v>0</v>
      </c>
      <c r="I217" s="80" t="s">
        <v>456</v>
      </c>
      <c r="J217" s="79">
        <v>4</v>
      </c>
      <c r="K217" s="79">
        <v>0</v>
      </c>
      <c r="L217" s="79">
        <v>0</v>
      </c>
      <c r="M217" s="79" t="s">
        <v>579</v>
      </c>
      <c r="N217" s="79" t="s">
        <v>452</v>
      </c>
      <c r="P217" s="79" t="s">
        <v>453</v>
      </c>
      <c r="Q217" s="79" t="s">
        <v>453</v>
      </c>
    </row>
    <row r="218" spans="1:17">
      <c r="A218" s="172">
        <f t="shared" si="4"/>
        <v>215</v>
      </c>
      <c r="B218" s="80" t="s">
        <v>795</v>
      </c>
      <c r="C218" s="80" t="s">
        <v>661</v>
      </c>
      <c r="F218" s="80" t="s">
        <v>655</v>
      </c>
      <c r="G218" s="80" t="s">
        <v>456</v>
      </c>
      <c r="H218" s="80">
        <v>0</v>
      </c>
      <c r="I218" s="80" t="s">
        <v>456</v>
      </c>
      <c r="J218" s="79">
        <v>4</v>
      </c>
      <c r="K218" s="79">
        <v>0</v>
      </c>
      <c r="L218" s="79">
        <v>0</v>
      </c>
      <c r="M218" s="79" t="s">
        <v>579</v>
      </c>
      <c r="N218" s="79" t="s">
        <v>452</v>
      </c>
      <c r="P218" s="79" t="s">
        <v>453</v>
      </c>
      <c r="Q218" s="79" t="s">
        <v>453</v>
      </c>
    </row>
    <row r="219" spans="1:17">
      <c r="A219" s="172">
        <f t="shared" si="4"/>
        <v>216</v>
      </c>
      <c r="B219" s="80" t="s">
        <v>796</v>
      </c>
      <c r="C219" s="80" t="s">
        <v>661</v>
      </c>
      <c r="F219" s="80" t="s">
        <v>655</v>
      </c>
      <c r="G219" s="80" t="s">
        <v>456</v>
      </c>
      <c r="H219" s="80">
        <v>0</v>
      </c>
      <c r="I219" s="80" t="s">
        <v>456</v>
      </c>
      <c r="J219" s="79">
        <v>4</v>
      </c>
      <c r="K219" s="79">
        <v>0</v>
      </c>
      <c r="L219" s="79">
        <v>0</v>
      </c>
      <c r="M219" s="79" t="s">
        <v>579</v>
      </c>
      <c r="N219" s="79" t="s">
        <v>452</v>
      </c>
      <c r="P219" s="79" t="s">
        <v>453</v>
      </c>
      <c r="Q219" s="79" t="s">
        <v>453</v>
      </c>
    </row>
    <row r="220" spans="1:17">
      <c r="A220" s="172">
        <f t="shared" si="4"/>
        <v>217</v>
      </c>
      <c r="B220" s="80" t="s">
        <v>797</v>
      </c>
      <c r="C220" s="80" t="s">
        <v>661</v>
      </c>
      <c r="F220" s="80" t="s">
        <v>655</v>
      </c>
      <c r="G220" s="80" t="s">
        <v>456</v>
      </c>
      <c r="H220" s="80">
        <v>0</v>
      </c>
      <c r="I220" s="80" t="s">
        <v>456</v>
      </c>
      <c r="J220" s="79">
        <v>4</v>
      </c>
      <c r="K220" s="79">
        <v>0</v>
      </c>
      <c r="L220" s="79">
        <v>0</v>
      </c>
      <c r="M220" s="79" t="s">
        <v>579</v>
      </c>
      <c r="N220" s="79" t="s">
        <v>452</v>
      </c>
      <c r="P220" s="79" t="s">
        <v>453</v>
      </c>
      <c r="Q220" s="79" t="s">
        <v>453</v>
      </c>
    </row>
    <row r="221" spans="1:17">
      <c r="A221" s="172">
        <f t="shared" si="4"/>
        <v>218</v>
      </c>
      <c r="B221" s="80" t="s">
        <v>798</v>
      </c>
      <c r="C221" s="80" t="s">
        <v>661</v>
      </c>
      <c r="F221" s="80" t="s">
        <v>655</v>
      </c>
      <c r="G221" s="80" t="s">
        <v>456</v>
      </c>
      <c r="H221" s="80">
        <v>0</v>
      </c>
      <c r="I221" s="80" t="s">
        <v>456</v>
      </c>
      <c r="J221" s="79">
        <v>12</v>
      </c>
      <c r="K221" s="79">
        <v>0</v>
      </c>
      <c r="L221" s="79">
        <v>0</v>
      </c>
      <c r="M221" s="79" t="s">
        <v>579</v>
      </c>
      <c r="N221" s="79" t="s">
        <v>452</v>
      </c>
      <c r="P221" s="79" t="s">
        <v>453</v>
      </c>
      <c r="Q221" s="79" t="s">
        <v>453</v>
      </c>
    </row>
    <row r="222" spans="1:17" ht="26.4">
      <c r="A222" s="172">
        <f t="shared" si="4"/>
        <v>219</v>
      </c>
      <c r="B222" s="80" t="s">
        <v>799</v>
      </c>
      <c r="C222" s="80" t="s">
        <v>661</v>
      </c>
      <c r="F222" s="80" t="s">
        <v>655</v>
      </c>
      <c r="G222" s="80" t="s">
        <v>456</v>
      </c>
      <c r="H222" s="80">
        <v>0</v>
      </c>
      <c r="I222" s="80" t="s">
        <v>456</v>
      </c>
      <c r="J222" s="79">
        <v>12</v>
      </c>
      <c r="K222" s="79">
        <v>0</v>
      </c>
      <c r="L222" s="79">
        <v>0</v>
      </c>
      <c r="M222" s="79" t="s">
        <v>579</v>
      </c>
      <c r="N222" s="79" t="s">
        <v>452</v>
      </c>
      <c r="P222" s="79" t="s">
        <v>453</v>
      </c>
      <c r="Q222" s="79" t="s">
        <v>453</v>
      </c>
    </row>
    <row r="223" spans="1:17" ht="26.4">
      <c r="A223" s="172">
        <f t="shared" si="4"/>
        <v>220</v>
      </c>
      <c r="B223" s="80" t="s">
        <v>800</v>
      </c>
      <c r="C223" s="80" t="s">
        <v>661</v>
      </c>
      <c r="F223" s="80" t="s">
        <v>655</v>
      </c>
      <c r="G223" s="80" t="s">
        <v>456</v>
      </c>
      <c r="H223" s="80">
        <v>0</v>
      </c>
      <c r="I223" s="80" t="s">
        <v>456</v>
      </c>
      <c r="J223" s="79">
        <v>12</v>
      </c>
      <c r="K223" s="79">
        <v>0</v>
      </c>
      <c r="L223" s="79">
        <v>0</v>
      </c>
      <c r="M223" s="79" t="s">
        <v>579</v>
      </c>
      <c r="N223" s="79" t="s">
        <v>452</v>
      </c>
      <c r="P223" s="79" t="s">
        <v>453</v>
      </c>
      <c r="Q223" s="79" t="s">
        <v>453</v>
      </c>
    </row>
    <row r="224" spans="1:17">
      <c r="A224" s="172">
        <f t="shared" si="4"/>
        <v>221</v>
      </c>
      <c r="B224" s="80" t="s">
        <v>801</v>
      </c>
      <c r="C224" s="80" t="s">
        <v>661</v>
      </c>
      <c r="F224" s="80" t="s">
        <v>655</v>
      </c>
      <c r="G224" s="80" t="s">
        <v>456</v>
      </c>
      <c r="H224" s="80">
        <v>0</v>
      </c>
      <c r="I224" s="80" t="s">
        <v>456</v>
      </c>
      <c r="J224" s="79">
        <v>12</v>
      </c>
      <c r="K224" s="79">
        <v>0</v>
      </c>
      <c r="L224" s="79">
        <v>0</v>
      </c>
      <c r="M224" s="79" t="s">
        <v>579</v>
      </c>
      <c r="N224" s="79" t="s">
        <v>452</v>
      </c>
      <c r="P224" s="79" t="s">
        <v>453</v>
      </c>
      <c r="Q224" s="79" t="s">
        <v>453</v>
      </c>
    </row>
    <row r="225" spans="1:17">
      <c r="A225" s="172">
        <f t="shared" si="4"/>
        <v>222</v>
      </c>
      <c r="B225" s="80" t="s">
        <v>802</v>
      </c>
      <c r="C225" s="80" t="s">
        <v>661</v>
      </c>
      <c r="F225" s="80" t="s">
        <v>655</v>
      </c>
      <c r="G225" s="80" t="s">
        <v>456</v>
      </c>
      <c r="H225" s="80">
        <v>0</v>
      </c>
      <c r="I225" s="80" t="s">
        <v>456</v>
      </c>
      <c r="J225" s="79">
        <v>12</v>
      </c>
      <c r="K225" s="79">
        <v>0</v>
      </c>
      <c r="L225" s="79">
        <v>0</v>
      </c>
      <c r="M225" s="79" t="s">
        <v>579</v>
      </c>
      <c r="N225" s="79" t="s">
        <v>452</v>
      </c>
      <c r="P225" s="79" t="s">
        <v>453</v>
      </c>
      <c r="Q225" s="79" t="s">
        <v>453</v>
      </c>
    </row>
    <row r="226" spans="1:17">
      <c r="A226" s="172">
        <f t="shared" si="4"/>
        <v>223</v>
      </c>
      <c r="B226" s="80" t="s">
        <v>803</v>
      </c>
      <c r="C226" s="80" t="s">
        <v>661</v>
      </c>
      <c r="F226" s="80" t="s">
        <v>655</v>
      </c>
      <c r="G226" s="80" t="s">
        <v>456</v>
      </c>
      <c r="H226" s="80">
        <v>0</v>
      </c>
      <c r="I226" s="80" t="s">
        <v>456</v>
      </c>
      <c r="J226" s="79">
        <v>12</v>
      </c>
      <c r="K226" s="79">
        <v>0</v>
      </c>
      <c r="L226" s="79">
        <v>0</v>
      </c>
      <c r="M226" s="79" t="s">
        <v>579</v>
      </c>
      <c r="N226" s="79" t="s">
        <v>452</v>
      </c>
      <c r="P226" s="79" t="s">
        <v>453</v>
      </c>
      <c r="Q226" s="79" t="s">
        <v>453</v>
      </c>
    </row>
    <row r="227" spans="1:17" ht="26.4">
      <c r="A227" s="172">
        <f t="shared" si="4"/>
        <v>224</v>
      </c>
      <c r="B227" s="80" t="s">
        <v>804</v>
      </c>
      <c r="C227" s="80" t="s">
        <v>661</v>
      </c>
      <c r="F227" s="80" t="s">
        <v>655</v>
      </c>
      <c r="G227" s="80" t="s">
        <v>456</v>
      </c>
      <c r="H227" s="80">
        <v>0</v>
      </c>
      <c r="I227" s="80" t="s">
        <v>456</v>
      </c>
      <c r="J227" s="79">
        <v>12</v>
      </c>
      <c r="K227" s="79">
        <v>0</v>
      </c>
      <c r="L227" s="79">
        <v>0</v>
      </c>
      <c r="M227" s="79" t="s">
        <v>579</v>
      </c>
      <c r="N227" s="79" t="s">
        <v>452</v>
      </c>
      <c r="P227" s="79" t="s">
        <v>453</v>
      </c>
      <c r="Q227" s="79" t="s">
        <v>453</v>
      </c>
    </row>
    <row r="228" spans="1:17" ht="26.4">
      <c r="A228" s="172">
        <f t="shared" si="4"/>
        <v>225</v>
      </c>
      <c r="B228" s="80" t="s">
        <v>805</v>
      </c>
      <c r="C228" s="80" t="s">
        <v>661</v>
      </c>
      <c r="F228" s="80" t="s">
        <v>655</v>
      </c>
      <c r="G228" s="80" t="s">
        <v>456</v>
      </c>
      <c r="H228" s="80">
        <v>0</v>
      </c>
      <c r="I228" s="80" t="s">
        <v>456</v>
      </c>
      <c r="J228" s="79">
        <v>12</v>
      </c>
      <c r="K228" s="79">
        <v>0</v>
      </c>
      <c r="L228" s="79">
        <v>0</v>
      </c>
      <c r="M228" s="79" t="s">
        <v>579</v>
      </c>
      <c r="N228" s="79" t="s">
        <v>452</v>
      </c>
      <c r="P228" s="79" t="s">
        <v>453</v>
      </c>
      <c r="Q228" s="79" t="s">
        <v>453</v>
      </c>
    </row>
    <row r="229" spans="1:17">
      <c r="A229" s="172">
        <f t="shared" si="4"/>
        <v>226</v>
      </c>
      <c r="B229" s="80" t="s">
        <v>806</v>
      </c>
      <c r="C229" s="80" t="s">
        <v>661</v>
      </c>
      <c r="F229" s="80" t="s">
        <v>655</v>
      </c>
      <c r="G229" s="80" t="s">
        <v>456</v>
      </c>
      <c r="H229" s="80">
        <v>0</v>
      </c>
      <c r="I229" s="80" t="s">
        <v>456</v>
      </c>
      <c r="J229" s="79">
        <v>12</v>
      </c>
      <c r="K229" s="79">
        <v>0</v>
      </c>
      <c r="L229" s="79">
        <v>0</v>
      </c>
      <c r="M229" s="79" t="s">
        <v>579</v>
      </c>
      <c r="N229" s="79" t="s">
        <v>452</v>
      </c>
      <c r="P229" s="79" t="s">
        <v>453</v>
      </c>
      <c r="Q229" s="79" t="s">
        <v>453</v>
      </c>
    </row>
    <row r="230" spans="1:17" ht="26.4">
      <c r="A230" s="172">
        <f t="shared" si="4"/>
        <v>227</v>
      </c>
      <c r="B230" s="80" t="s">
        <v>807</v>
      </c>
      <c r="C230" s="80" t="s">
        <v>661</v>
      </c>
      <c r="F230" s="80" t="s">
        <v>655</v>
      </c>
      <c r="G230" s="80" t="s">
        <v>456</v>
      </c>
      <c r="H230" s="80">
        <v>0</v>
      </c>
      <c r="I230" s="80" t="s">
        <v>456</v>
      </c>
      <c r="J230" s="79">
        <v>12</v>
      </c>
      <c r="K230" s="79">
        <v>0</v>
      </c>
      <c r="L230" s="79">
        <v>0</v>
      </c>
      <c r="M230" s="79" t="s">
        <v>579</v>
      </c>
      <c r="N230" s="79" t="s">
        <v>452</v>
      </c>
      <c r="P230" s="79" t="s">
        <v>453</v>
      </c>
      <c r="Q230" s="79" t="s">
        <v>453</v>
      </c>
    </row>
    <row r="231" spans="1:17" ht="26.4">
      <c r="A231" s="172">
        <f t="shared" si="4"/>
        <v>228</v>
      </c>
      <c r="B231" s="80" t="s">
        <v>808</v>
      </c>
      <c r="C231" s="80" t="s">
        <v>661</v>
      </c>
      <c r="F231" s="80" t="s">
        <v>655</v>
      </c>
      <c r="G231" s="80" t="s">
        <v>456</v>
      </c>
      <c r="H231" s="80">
        <v>0</v>
      </c>
      <c r="I231" s="80" t="s">
        <v>456</v>
      </c>
      <c r="J231" s="79">
        <v>12</v>
      </c>
      <c r="K231" s="79">
        <v>0</v>
      </c>
      <c r="L231" s="79">
        <v>0</v>
      </c>
      <c r="M231" s="79" t="s">
        <v>579</v>
      </c>
      <c r="N231" s="79" t="s">
        <v>452</v>
      </c>
      <c r="P231" s="79" t="s">
        <v>453</v>
      </c>
      <c r="Q231" s="79" t="s">
        <v>453</v>
      </c>
    </row>
    <row r="232" spans="1:17" ht="26.4">
      <c r="A232" s="172">
        <f t="shared" si="4"/>
        <v>229</v>
      </c>
      <c r="B232" s="80" t="s">
        <v>809</v>
      </c>
      <c r="C232" s="80" t="s">
        <v>661</v>
      </c>
      <c r="F232" s="80" t="s">
        <v>655</v>
      </c>
      <c r="G232" s="80" t="s">
        <v>456</v>
      </c>
      <c r="H232" s="80">
        <v>0</v>
      </c>
      <c r="I232" s="80" t="s">
        <v>456</v>
      </c>
      <c r="J232" s="79">
        <v>12</v>
      </c>
      <c r="K232" s="79">
        <v>0</v>
      </c>
      <c r="L232" s="79">
        <v>0</v>
      </c>
      <c r="M232" s="79" t="s">
        <v>579</v>
      </c>
      <c r="N232" s="79" t="s">
        <v>452</v>
      </c>
      <c r="P232" s="79" t="s">
        <v>453</v>
      </c>
      <c r="Q232" s="79" t="s">
        <v>453</v>
      </c>
    </row>
    <row r="233" spans="1:17" ht="26.4">
      <c r="A233" s="172">
        <f t="shared" si="4"/>
        <v>230</v>
      </c>
      <c r="B233" s="80" t="s">
        <v>810</v>
      </c>
      <c r="C233" s="80" t="s">
        <v>661</v>
      </c>
      <c r="F233" s="80" t="s">
        <v>655</v>
      </c>
      <c r="G233" s="80" t="s">
        <v>456</v>
      </c>
      <c r="H233" s="80">
        <v>0</v>
      </c>
      <c r="I233" s="80" t="s">
        <v>456</v>
      </c>
      <c r="J233" s="79">
        <v>12</v>
      </c>
      <c r="K233" s="79">
        <v>0</v>
      </c>
      <c r="L233" s="79">
        <v>0</v>
      </c>
      <c r="M233" s="79" t="s">
        <v>579</v>
      </c>
      <c r="N233" s="79" t="s">
        <v>452</v>
      </c>
      <c r="P233" s="79" t="s">
        <v>453</v>
      </c>
      <c r="Q233" s="79" t="s">
        <v>453</v>
      </c>
    </row>
    <row r="234" spans="1:17" ht="26.4">
      <c r="A234" s="172">
        <f t="shared" si="4"/>
        <v>231</v>
      </c>
      <c r="B234" s="80" t="s">
        <v>811</v>
      </c>
      <c r="C234" s="80" t="s">
        <v>661</v>
      </c>
      <c r="F234" s="80" t="s">
        <v>655</v>
      </c>
      <c r="G234" s="80" t="s">
        <v>456</v>
      </c>
      <c r="H234" s="80">
        <v>0</v>
      </c>
      <c r="I234" s="80" t="s">
        <v>456</v>
      </c>
      <c r="J234" s="79">
        <v>12</v>
      </c>
      <c r="K234" s="79">
        <v>0</v>
      </c>
      <c r="L234" s="79">
        <v>0</v>
      </c>
      <c r="M234" s="79" t="s">
        <v>579</v>
      </c>
      <c r="N234" s="79" t="s">
        <v>452</v>
      </c>
      <c r="P234" s="79" t="s">
        <v>453</v>
      </c>
      <c r="Q234" s="79" t="s">
        <v>453</v>
      </c>
    </row>
    <row r="235" spans="1:17">
      <c r="A235" s="172">
        <f t="shared" si="4"/>
        <v>232</v>
      </c>
      <c r="B235" s="80" t="s">
        <v>812</v>
      </c>
      <c r="C235" s="80" t="s">
        <v>661</v>
      </c>
      <c r="F235" s="80" t="s">
        <v>655</v>
      </c>
      <c r="G235" s="80" t="s">
        <v>456</v>
      </c>
      <c r="H235" s="80">
        <v>0</v>
      </c>
      <c r="I235" s="80" t="s">
        <v>456</v>
      </c>
      <c r="J235" s="79">
        <v>12</v>
      </c>
      <c r="K235" s="79">
        <v>0</v>
      </c>
      <c r="L235" s="79">
        <v>0</v>
      </c>
      <c r="M235" s="79" t="s">
        <v>579</v>
      </c>
      <c r="N235" s="79" t="s">
        <v>452</v>
      </c>
      <c r="P235" s="79" t="s">
        <v>453</v>
      </c>
      <c r="Q235" s="79" t="s">
        <v>453</v>
      </c>
    </row>
    <row r="236" spans="1:17" ht="26.4">
      <c r="A236" s="172">
        <f t="shared" si="4"/>
        <v>233</v>
      </c>
      <c r="B236" s="80" t="s">
        <v>813</v>
      </c>
      <c r="C236" s="80" t="s">
        <v>661</v>
      </c>
      <c r="F236" s="80" t="s">
        <v>655</v>
      </c>
      <c r="G236" s="80" t="s">
        <v>456</v>
      </c>
      <c r="H236" s="80">
        <v>0</v>
      </c>
      <c r="I236" s="80" t="s">
        <v>456</v>
      </c>
      <c r="J236" s="79">
        <v>12</v>
      </c>
      <c r="K236" s="79">
        <v>0</v>
      </c>
      <c r="L236" s="79">
        <v>0</v>
      </c>
      <c r="M236" s="79" t="s">
        <v>579</v>
      </c>
      <c r="N236" s="79" t="s">
        <v>452</v>
      </c>
      <c r="P236" s="79" t="s">
        <v>453</v>
      </c>
      <c r="Q236" s="79" t="s">
        <v>453</v>
      </c>
    </row>
    <row r="237" spans="1:17" ht="26.4">
      <c r="A237" s="172">
        <f t="shared" si="4"/>
        <v>234</v>
      </c>
      <c r="B237" s="80" t="s">
        <v>814</v>
      </c>
      <c r="C237" s="80" t="s">
        <v>661</v>
      </c>
      <c r="F237" s="80" t="s">
        <v>655</v>
      </c>
      <c r="G237" s="80" t="s">
        <v>456</v>
      </c>
      <c r="H237" s="80">
        <v>0</v>
      </c>
      <c r="I237" s="80" t="s">
        <v>456</v>
      </c>
      <c r="J237" s="79">
        <v>12</v>
      </c>
      <c r="K237" s="79">
        <v>0</v>
      </c>
      <c r="L237" s="79">
        <v>0</v>
      </c>
      <c r="M237" s="79" t="s">
        <v>579</v>
      </c>
      <c r="N237" s="79" t="s">
        <v>452</v>
      </c>
      <c r="P237" s="79" t="s">
        <v>453</v>
      </c>
      <c r="Q237" s="79" t="s">
        <v>453</v>
      </c>
    </row>
    <row r="238" spans="1:17">
      <c r="A238" s="172">
        <f t="shared" si="4"/>
        <v>235</v>
      </c>
      <c r="B238" s="80" t="s">
        <v>815</v>
      </c>
      <c r="C238" s="80" t="s">
        <v>661</v>
      </c>
      <c r="F238" s="80" t="s">
        <v>655</v>
      </c>
      <c r="G238" s="80" t="s">
        <v>456</v>
      </c>
      <c r="H238" s="80">
        <v>0</v>
      </c>
      <c r="I238" s="80" t="s">
        <v>456</v>
      </c>
      <c r="J238" s="79">
        <v>4</v>
      </c>
      <c r="K238" s="79">
        <v>0</v>
      </c>
      <c r="L238" s="79">
        <v>0</v>
      </c>
      <c r="M238" s="79" t="s">
        <v>579</v>
      </c>
      <c r="N238" s="79" t="s">
        <v>452</v>
      </c>
      <c r="P238" s="79" t="s">
        <v>453</v>
      </c>
      <c r="Q238" s="79" t="s">
        <v>453</v>
      </c>
    </row>
    <row r="239" spans="1:17">
      <c r="A239" s="172">
        <f t="shared" si="4"/>
        <v>236</v>
      </c>
      <c r="B239" s="80" t="s">
        <v>816</v>
      </c>
      <c r="C239" s="80" t="s">
        <v>661</v>
      </c>
      <c r="F239" s="80" t="s">
        <v>655</v>
      </c>
      <c r="G239" s="80" t="s">
        <v>456</v>
      </c>
      <c r="H239" s="80">
        <v>0</v>
      </c>
      <c r="I239" s="80" t="s">
        <v>456</v>
      </c>
      <c r="J239" s="79">
        <v>4</v>
      </c>
      <c r="K239" s="79">
        <v>0</v>
      </c>
      <c r="L239" s="79">
        <v>0</v>
      </c>
      <c r="M239" s="79" t="s">
        <v>579</v>
      </c>
      <c r="N239" s="79" t="s">
        <v>452</v>
      </c>
      <c r="P239" s="79" t="s">
        <v>453</v>
      </c>
      <c r="Q239" s="79" t="s">
        <v>453</v>
      </c>
    </row>
    <row r="240" spans="1:17">
      <c r="A240" s="172">
        <f t="shared" si="4"/>
        <v>237</v>
      </c>
      <c r="B240" s="80" t="s">
        <v>817</v>
      </c>
      <c r="C240" s="80" t="s">
        <v>661</v>
      </c>
      <c r="F240" s="80" t="s">
        <v>655</v>
      </c>
      <c r="G240" s="80" t="s">
        <v>456</v>
      </c>
      <c r="H240" s="80">
        <v>0</v>
      </c>
      <c r="I240" s="80" t="s">
        <v>456</v>
      </c>
      <c r="J240" s="79">
        <v>4</v>
      </c>
      <c r="K240" s="79">
        <v>0</v>
      </c>
      <c r="L240" s="79">
        <v>0</v>
      </c>
      <c r="M240" s="79" t="s">
        <v>579</v>
      </c>
      <c r="N240" s="79" t="s">
        <v>452</v>
      </c>
      <c r="P240" s="79" t="s">
        <v>453</v>
      </c>
      <c r="Q240" s="79" t="s">
        <v>453</v>
      </c>
    </row>
    <row r="241" spans="1:17">
      <c r="A241" s="172">
        <f t="shared" si="4"/>
        <v>238</v>
      </c>
      <c r="B241" s="80" t="s">
        <v>818</v>
      </c>
      <c r="C241" s="80" t="s">
        <v>661</v>
      </c>
      <c r="F241" s="80" t="s">
        <v>655</v>
      </c>
      <c r="G241" s="80" t="s">
        <v>456</v>
      </c>
      <c r="H241" s="80">
        <v>0</v>
      </c>
      <c r="I241" s="80" t="s">
        <v>456</v>
      </c>
      <c r="J241" s="79">
        <v>4</v>
      </c>
      <c r="K241" s="79">
        <v>0</v>
      </c>
      <c r="L241" s="79">
        <v>0</v>
      </c>
      <c r="M241" s="79" t="s">
        <v>579</v>
      </c>
      <c r="N241" s="79" t="s">
        <v>452</v>
      </c>
      <c r="P241" s="79" t="s">
        <v>453</v>
      </c>
      <c r="Q241" s="79" t="s">
        <v>453</v>
      </c>
    </row>
    <row r="242" spans="1:17">
      <c r="A242" s="172">
        <f t="shared" si="4"/>
        <v>239</v>
      </c>
      <c r="B242" s="80" t="s">
        <v>819</v>
      </c>
      <c r="C242" s="80" t="s">
        <v>661</v>
      </c>
      <c r="F242" s="80" t="s">
        <v>655</v>
      </c>
      <c r="G242" s="80" t="s">
        <v>456</v>
      </c>
      <c r="H242" s="80">
        <v>0</v>
      </c>
      <c r="I242" s="80" t="s">
        <v>456</v>
      </c>
      <c r="J242" s="79">
        <v>4</v>
      </c>
      <c r="K242" s="79">
        <v>0</v>
      </c>
      <c r="L242" s="79">
        <v>0</v>
      </c>
      <c r="M242" s="79" t="s">
        <v>579</v>
      </c>
      <c r="N242" s="79" t="s">
        <v>452</v>
      </c>
      <c r="P242" s="79" t="s">
        <v>453</v>
      </c>
      <c r="Q242" s="79" t="s">
        <v>453</v>
      </c>
    </row>
    <row r="243" spans="1:17">
      <c r="A243" s="172">
        <f t="shared" si="4"/>
        <v>240</v>
      </c>
      <c r="B243" s="80" t="s">
        <v>820</v>
      </c>
      <c r="C243" s="80" t="s">
        <v>661</v>
      </c>
      <c r="F243" s="80" t="s">
        <v>655</v>
      </c>
      <c r="G243" s="80" t="s">
        <v>456</v>
      </c>
      <c r="H243" s="80">
        <v>0</v>
      </c>
      <c r="I243" s="80" t="s">
        <v>456</v>
      </c>
      <c r="J243" s="79">
        <v>4</v>
      </c>
      <c r="K243" s="79">
        <v>0</v>
      </c>
      <c r="L243" s="79">
        <v>0</v>
      </c>
      <c r="M243" s="79" t="s">
        <v>579</v>
      </c>
      <c r="N243" s="79" t="s">
        <v>452</v>
      </c>
      <c r="P243" s="79" t="s">
        <v>453</v>
      </c>
      <c r="Q243" s="79" t="s">
        <v>453</v>
      </c>
    </row>
    <row r="244" spans="1:17" ht="26.4">
      <c r="A244" s="172">
        <f t="shared" si="4"/>
        <v>241</v>
      </c>
      <c r="B244" s="80" t="s">
        <v>821</v>
      </c>
      <c r="C244" s="80" t="s">
        <v>661</v>
      </c>
      <c r="F244" s="80" t="s">
        <v>655</v>
      </c>
      <c r="G244" s="80" t="s">
        <v>456</v>
      </c>
      <c r="H244" s="80">
        <v>0</v>
      </c>
      <c r="I244" s="80" t="s">
        <v>456</v>
      </c>
      <c r="J244" s="79">
        <v>4</v>
      </c>
      <c r="K244" s="79">
        <v>0</v>
      </c>
      <c r="L244" s="79">
        <v>0</v>
      </c>
      <c r="M244" s="79" t="s">
        <v>579</v>
      </c>
      <c r="N244" s="79" t="s">
        <v>452</v>
      </c>
      <c r="P244" s="79" t="s">
        <v>453</v>
      </c>
      <c r="Q244" s="79" t="s">
        <v>453</v>
      </c>
    </row>
    <row r="245" spans="1:17">
      <c r="A245" s="172">
        <f t="shared" si="4"/>
        <v>242</v>
      </c>
      <c r="B245" s="80" t="s">
        <v>822</v>
      </c>
      <c r="C245" s="80" t="s">
        <v>661</v>
      </c>
      <c r="F245" s="80" t="s">
        <v>655</v>
      </c>
      <c r="G245" s="80" t="s">
        <v>456</v>
      </c>
      <c r="H245" s="80">
        <v>0</v>
      </c>
      <c r="I245" s="80" t="s">
        <v>456</v>
      </c>
      <c r="J245" s="79">
        <v>4</v>
      </c>
      <c r="K245" s="79">
        <v>0</v>
      </c>
      <c r="L245" s="79">
        <v>0</v>
      </c>
      <c r="M245" s="79" t="s">
        <v>579</v>
      </c>
      <c r="N245" s="79" t="s">
        <v>452</v>
      </c>
      <c r="P245" s="79" t="s">
        <v>453</v>
      </c>
      <c r="Q245" s="79" t="s">
        <v>453</v>
      </c>
    </row>
    <row r="246" spans="1:17" ht="26.4">
      <c r="A246" s="172">
        <f t="shared" si="4"/>
        <v>243</v>
      </c>
      <c r="B246" s="80" t="s">
        <v>823</v>
      </c>
      <c r="C246" s="80" t="s">
        <v>661</v>
      </c>
      <c r="F246" s="80" t="s">
        <v>655</v>
      </c>
      <c r="G246" s="80" t="s">
        <v>456</v>
      </c>
      <c r="H246" s="80">
        <v>0</v>
      </c>
      <c r="I246" s="80" t="s">
        <v>456</v>
      </c>
      <c r="J246" s="79">
        <v>4</v>
      </c>
      <c r="K246" s="79">
        <v>0</v>
      </c>
      <c r="L246" s="79">
        <v>0</v>
      </c>
      <c r="M246" s="79" t="s">
        <v>579</v>
      </c>
      <c r="N246" s="79" t="s">
        <v>452</v>
      </c>
      <c r="P246" s="79" t="s">
        <v>453</v>
      </c>
      <c r="Q246" s="79" t="s">
        <v>453</v>
      </c>
    </row>
    <row r="247" spans="1:17" ht="26.4">
      <c r="A247" s="172">
        <f t="shared" si="4"/>
        <v>244</v>
      </c>
      <c r="B247" s="80" t="s">
        <v>824</v>
      </c>
      <c r="C247" s="80" t="s">
        <v>661</v>
      </c>
      <c r="F247" s="80" t="s">
        <v>655</v>
      </c>
      <c r="G247" s="80" t="s">
        <v>456</v>
      </c>
      <c r="H247" s="80">
        <v>0</v>
      </c>
      <c r="I247" s="80" t="s">
        <v>456</v>
      </c>
      <c r="J247" s="79">
        <v>4</v>
      </c>
      <c r="K247" s="79">
        <v>0</v>
      </c>
      <c r="L247" s="79">
        <v>0</v>
      </c>
      <c r="M247" s="79" t="s">
        <v>579</v>
      </c>
      <c r="N247" s="79" t="s">
        <v>452</v>
      </c>
      <c r="P247" s="79" t="s">
        <v>453</v>
      </c>
      <c r="Q247" s="79" t="s">
        <v>453</v>
      </c>
    </row>
    <row r="248" spans="1:17" ht="26.4">
      <c r="A248" s="172">
        <f t="shared" si="4"/>
        <v>245</v>
      </c>
      <c r="B248" s="80" t="s">
        <v>825</v>
      </c>
      <c r="C248" s="80" t="s">
        <v>661</v>
      </c>
      <c r="F248" s="80" t="s">
        <v>655</v>
      </c>
      <c r="G248" s="80" t="s">
        <v>456</v>
      </c>
      <c r="H248" s="80">
        <v>0</v>
      </c>
      <c r="I248" s="80" t="s">
        <v>456</v>
      </c>
      <c r="J248" s="79">
        <v>4</v>
      </c>
      <c r="K248" s="79">
        <v>0</v>
      </c>
      <c r="L248" s="79">
        <v>0</v>
      </c>
      <c r="M248" s="79" t="s">
        <v>579</v>
      </c>
      <c r="N248" s="79" t="s">
        <v>452</v>
      </c>
      <c r="P248" s="79" t="s">
        <v>453</v>
      </c>
      <c r="Q248" s="79" t="s">
        <v>453</v>
      </c>
    </row>
    <row r="249" spans="1:17" ht="26.4">
      <c r="A249" s="172">
        <f t="shared" si="4"/>
        <v>246</v>
      </c>
      <c r="B249" s="80" t="s">
        <v>826</v>
      </c>
      <c r="C249" s="80" t="s">
        <v>661</v>
      </c>
      <c r="F249" s="80" t="s">
        <v>655</v>
      </c>
      <c r="G249" s="80" t="s">
        <v>456</v>
      </c>
      <c r="H249" s="80">
        <v>0</v>
      </c>
      <c r="I249" s="80" t="s">
        <v>456</v>
      </c>
      <c r="J249" s="79">
        <v>4</v>
      </c>
      <c r="K249" s="79">
        <v>0</v>
      </c>
      <c r="L249" s="79">
        <v>0</v>
      </c>
      <c r="M249" s="79" t="s">
        <v>579</v>
      </c>
      <c r="N249" s="79" t="s">
        <v>452</v>
      </c>
      <c r="P249" s="79" t="s">
        <v>453</v>
      </c>
      <c r="Q249" s="79" t="s">
        <v>453</v>
      </c>
    </row>
    <row r="250" spans="1:17">
      <c r="A250" s="172">
        <f t="shared" si="4"/>
        <v>247</v>
      </c>
      <c r="B250" s="80" t="s">
        <v>827</v>
      </c>
      <c r="C250" s="80" t="s">
        <v>661</v>
      </c>
      <c r="F250" s="80" t="s">
        <v>655</v>
      </c>
      <c r="G250" s="80" t="s">
        <v>456</v>
      </c>
      <c r="H250" s="80">
        <v>0</v>
      </c>
      <c r="I250" s="80" t="s">
        <v>456</v>
      </c>
      <c r="J250" s="79">
        <v>4</v>
      </c>
      <c r="K250" s="79">
        <v>0</v>
      </c>
      <c r="L250" s="79">
        <v>0</v>
      </c>
      <c r="M250" s="79" t="s">
        <v>579</v>
      </c>
      <c r="N250" s="79" t="s">
        <v>452</v>
      </c>
      <c r="P250" s="79" t="s">
        <v>453</v>
      </c>
      <c r="Q250" s="79" t="s">
        <v>453</v>
      </c>
    </row>
    <row r="251" spans="1:17">
      <c r="A251" s="172">
        <f t="shared" si="4"/>
        <v>248</v>
      </c>
      <c r="B251" s="80" t="s">
        <v>828</v>
      </c>
      <c r="C251" s="80" t="s">
        <v>661</v>
      </c>
      <c r="F251" s="80" t="s">
        <v>655</v>
      </c>
      <c r="G251" s="80" t="s">
        <v>456</v>
      </c>
      <c r="H251" s="80">
        <v>0</v>
      </c>
      <c r="I251" s="80" t="s">
        <v>456</v>
      </c>
      <c r="J251" s="79">
        <v>4</v>
      </c>
      <c r="K251" s="79">
        <v>0</v>
      </c>
      <c r="L251" s="79">
        <v>0</v>
      </c>
      <c r="M251" s="79" t="s">
        <v>579</v>
      </c>
      <c r="N251" s="79" t="s">
        <v>452</v>
      </c>
      <c r="P251" s="79" t="s">
        <v>453</v>
      </c>
      <c r="Q251" s="79" t="s">
        <v>453</v>
      </c>
    </row>
    <row r="252" spans="1:17">
      <c r="A252" s="172">
        <f t="shared" si="4"/>
        <v>249</v>
      </c>
      <c r="B252" s="80" t="s">
        <v>829</v>
      </c>
      <c r="C252" s="80" t="s">
        <v>661</v>
      </c>
      <c r="D252" s="80" t="s">
        <v>829</v>
      </c>
      <c r="E252" s="80" t="s">
        <v>830</v>
      </c>
      <c r="F252" s="80" t="s">
        <v>655</v>
      </c>
      <c r="G252" s="80" t="s">
        <v>456</v>
      </c>
      <c r="H252" s="80">
        <v>0</v>
      </c>
      <c r="I252" s="80" t="s">
        <v>456</v>
      </c>
      <c r="J252" s="79">
        <v>4</v>
      </c>
      <c r="K252" s="79">
        <v>0</v>
      </c>
      <c r="L252" s="79">
        <v>0</v>
      </c>
      <c r="M252" s="79" t="s">
        <v>579</v>
      </c>
      <c r="N252" s="79" t="s">
        <v>452</v>
      </c>
      <c r="P252" s="79" t="s">
        <v>453</v>
      </c>
      <c r="Q252" s="79" t="s">
        <v>453</v>
      </c>
    </row>
    <row r="253" spans="1:17">
      <c r="A253" s="172">
        <f t="shared" si="4"/>
        <v>250</v>
      </c>
      <c r="B253" s="80" t="s">
        <v>831</v>
      </c>
      <c r="C253" s="80" t="s">
        <v>661</v>
      </c>
      <c r="F253" s="80" t="s">
        <v>655</v>
      </c>
      <c r="G253" s="80" t="s">
        <v>456</v>
      </c>
      <c r="H253" s="80">
        <v>0</v>
      </c>
      <c r="I253" s="80" t="s">
        <v>456</v>
      </c>
      <c r="J253" s="79">
        <v>4</v>
      </c>
      <c r="K253" s="79">
        <v>0</v>
      </c>
      <c r="L253" s="79">
        <v>0</v>
      </c>
      <c r="M253" s="79" t="s">
        <v>579</v>
      </c>
      <c r="N253" s="79" t="s">
        <v>452</v>
      </c>
      <c r="P253" s="79" t="s">
        <v>453</v>
      </c>
      <c r="Q253" s="79" t="s">
        <v>453</v>
      </c>
    </row>
    <row r="254" spans="1:17">
      <c r="A254" s="172">
        <f t="shared" si="4"/>
        <v>251</v>
      </c>
      <c r="B254" s="80" t="s">
        <v>832</v>
      </c>
      <c r="C254" s="80" t="s">
        <v>661</v>
      </c>
      <c r="F254" s="80" t="s">
        <v>655</v>
      </c>
      <c r="G254" s="80" t="s">
        <v>456</v>
      </c>
      <c r="H254" s="80">
        <v>0</v>
      </c>
      <c r="I254" s="80" t="s">
        <v>456</v>
      </c>
      <c r="J254" s="79">
        <v>4</v>
      </c>
      <c r="K254" s="79">
        <v>0</v>
      </c>
      <c r="L254" s="79">
        <v>0</v>
      </c>
      <c r="M254" s="79" t="s">
        <v>579</v>
      </c>
      <c r="N254" s="79" t="s">
        <v>452</v>
      </c>
      <c r="P254" s="79" t="s">
        <v>453</v>
      </c>
      <c r="Q254" s="79" t="s">
        <v>453</v>
      </c>
    </row>
    <row r="255" spans="1:17">
      <c r="A255" s="172">
        <f t="shared" si="4"/>
        <v>252</v>
      </c>
      <c r="B255" s="80" t="s">
        <v>833</v>
      </c>
      <c r="C255" s="80" t="s">
        <v>661</v>
      </c>
      <c r="F255" s="80" t="s">
        <v>655</v>
      </c>
      <c r="G255" s="80" t="s">
        <v>456</v>
      </c>
      <c r="H255" s="80">
        <v>0</v>
      </c>
      <c r="I255" s="80" t="s">
        <v>456</v>
      </c>
      <c r="J255" s="79">
        <v>4</v>
      </c>
      <c r="K255" s="79">
        <v>0</v>
      </c>
      <c r="L255" s="79">
        <v>0</v>
      </c>
      <c r="M255" s="79" t="s">
        <v>579</v>
      </c>
      <c r="N255" s="79" t="s">
        <v>452</v>
      </c>
      <c r="P255" s="79" t="s">
        <v>453</v>
      </c>
      <c r="Q255" s="79" t="s">
        <v>453</v>
      </c>
    </row>
    <row r="256" spans="1:17">
      <c r="A256" s="172">
        <f t="shared" si="4"/>
        <v>253</v>
      </c>
      <c r="B256" s="80" t="s">
        <v>834</v>
      </c>
      <c r="C256" s="80" t="s">
        <v>661</v>
      </c>
      <c r="F256" s="80" t="s">
        <v>655</v>
      </c>
      <c r="G256" s="80" t="s">
        <v>456</v>
      </c>
      <c r="H256" s="80">
        <v>0</v>
      </c>
      <c r="I256" s="80" t="s">
        <v>456</v>
      </c>
      <c r="J256" s="79">
        <v>4</v>
      </c>
      <c r="K256" s="79">
        <v>0</v>
      </c>
      <c r="L256" s="79">
        <v>0</v>
      </c>
      <c r="M256" s="79" t="s">
        <v>579</v>
      </c>
      <c r="N256" s="79" t="s">
        <v>452</v>
      </c>
      <c r="P256" s="79" t="s">
        <v>453</v>
      </c>
      <c r="Q256" s="79" t="s">
        <v>453</v>
      </c>
    </row>
    <row r="257" spans="1:17">
      <c r="A257" s="172">
        <f t="shared" si="4"/>
        <v>254</v>
      </c>
      <c r="B257" s="80" t="s">
        <v>835</v>
      </c>
      <c r="C257" s="80" t="s">
        <v>661</v>
      </c>
      <c r="F257" s="80" t="s">
        <v>655</v>
      </c>
      <c r="G257" s="80" t="s">
        <v>456</v>
      </c>
      <c r="H257" s="80">
        <v>0</v>
      </c>
      <c r="I257" s="80" t="s">
        <v>456</v>
      </c>
      <c r="J257" s="79">
        <v>12</v>
      </c>
      <c r="K257" s="79">
        <v>0</v>
      </c>
      <c r="L257" s="79">
        <v>0</v>
      </c>
      <c r="M257" s="79" t="s">
        <v>579</v>
      </c>
      <c r="N257" s="79" t="s">
        <v>452</v>
      </c>
      <c r="P257" s="79" t="s">
        <v>453</v>
      </c>
      <c r="Q257" s="79" t="s">
        <v>453</v>
      </c>
    </row>
    <row r="258" spans="1:17">
      <c r="A258" s="172">
        <f t="shared" si="4"/>
        <v>255</v>
      </c>
      <c r="B258" s="80" t="s">
        <v>836</v>
      </c>
      <c r="C258" s="80" t="s">
        <v>661</v>
      </c>
      <c r="F258" s="80" t="s">
        <v>655</v>
      </c>
      <c r="G258" s="80" t="s">
        <v>456</v>
      </c>
      <c r="H258" s="80">
        <v>0</v>
      </c>
      <c r="I258" s="80" t="s">
        <v>456</v>
      </c>
      <c r="J258" s="79">
        <v>12</v>
      </c>
      <c r="K258" s="79">
        <v>0</v>
      </c>
      <c r="L258" s="79">
        <v>0</v>
      </c>
      <c r="M258" s="79" t="s">
        <v>579</v>
      </c>
      <c r="N258" s="79" t="s">
        <v>452</v>
      </c>
      <c r="P258" s="79" t="s">
        <v>453</v>
      </c>
      <c r="Q258" s="79" t="s">
        <v>453</v>
      </c>
    </row>
    <row r="259" spans="1:17">
      <c r="A259" s="172">
        <f t="shared" si="4"/>
        <v>256</v>
      </c>
      <c r="B259" s="80" t="s">
        <v>837</v>
      </c>
      <c r="C259" s="80" t="s">
        <v>661</v>
      </c>
      <c r="F259" s="80" t="s">
        <v>655</v>
      </c>
      <c r="G259" s="80" t="s">
        <v>456</v>
      </c>
      <c r="H259" s="80">
        <v>0</v>
      </c>
      <c r="I259" s="80" t="s">
        <v>456</v>
      </c>
      <c r="J259" s="79">
        <v>12</v>
      </c>
      <c r="K259" s="79">
        <v>0</v>
      </c>
      <c r="L259" s="79">
        <v>0</v>
      </c>
      <c r="M259" s="79" t="s">
        <v>579</v>
      </c>
      <c r="N259" s="79" t="s">
        <v>452</v>
      </c>
      <c r="P259" s="79" t="s">
        <v>453</v>
      </c>
      <c r="Q259" s="79" t="s">
        <v>453</v>
      </c>
    </row>
    <row r="260" spans="1:17">
      <c r="A260" s="172">
        <f t="shared" si="4"/>
        <v>257</v>
      </c>
      <c r="B260" s="80" t="s">
        <v>838</v>
      </c>
      <c r="C260" s="80" t="s">
        <v>661</v>
      </c>
      <c r="F260" s="80" t="s">
        <v>655</v>
      </c>
      <c r="G260" s="80" t="s">
        <v>456</v>
      </c>
      <c r="H260" s="80">
        <v>0</v>
      </c>
      <c r="I260" s="80" t="s">
        <v>456</v>
      </c>
      <c r="J260" s="79">
        <v>12</v>
      </c>
      <c r="K260" s="79">
        <v>0</v>
      </c>
      <c r="L260" s="79">
        <v>0</v>
      </c>
      <c r="M260" s="79" t="s">
        <v>579</v>
      </c>
      <c r="N260" s="79" t="s">
        <v>452</v>
      </c>
      <c r="P260" s="79" t="s">
        <v>453</v>
      </c>
      <c r="Q260" s="79" t="s">
        <v>453</v>
      </c>
    </row>
    <row r="261" spans="1:17">
      <c r="A261" s="172">
        <f t="shared" si="4"/>
        <v>258</v>
      </c>
      <c r="B261" s="80" t="s">
        <v>839</v>
      </c>
      <c r="C261" s="80" t="s">
        <v>661</v>
      </c>
      <c r="F261" s="80" t="s">
        <v>655</v>
      </c>
      <c r="G261" s="80" t="s">
        <v>456</v>
      </c>
      <c r="H261" s="80">
        <v>0</v>
      </c>
      <c r="I261" s="80" t="s">
        <v>456</v>
      </c>
      <c r="J261" s="79">
        <v>12</v>
      </c>
      <c r="K261" s="79">
        <v>0</v>
      </c>
      <c r="L261" s="79">
        <v>0</v>
      </c>
      <c r="M261" s="79" t="s">
        <v>579</v>
      </c>
      <c r="N261" s="79" t="s">
        <v>452</v>
      </c>
      <c r="P261" s="79" t="s">
        <v>453</v>
      </c>
      <c r="Q261" s="79" t="s">
        <v>453</v>
      </c>
    </row>
    <row r="262" spans="1:17">
      <c r="A262" s="172">
        <f t="shared" si="4"/>
        <v>259</v>
      </c>
      <c r="B262" s="80" t="s">
        <v>840</v>
      </c>
      <c r="C262" s="80" t="s">
        <v>661</v>
      </c>
      <c r="F262" s="80" t="s">
        <v>655</v>
      </c>
      <c r="G262" s="80" t="s">
        <v>456</v>
      </c>
      <c r="H262" s="80">
        <v>0</v>
      </c>
      <c r="I262" s="80" t="s">
        <v>456</v>
      </c>
      <c r="J262" s="79">
        <v>12</v>
      </c>
      <c r="K262" s="79">
        <v>0</v>
      </c>
      <c r="L262" s="79">
        <v>0</v>
      </c>
      <c r="M262" s="79" t="s">
        <v>579</v>
      </c>
      <c r="N262" s="79" t="s">
        <v>452</v>
      </c>
      <c r="P262" s="79" t="s">
        <v>453</v>
      </c>
      <c r="Q262" s="79" t="s">
        <v>453</v>
      </c>
    </row>
    <row r="263" spans="1:17">
      <c r="A263" s="172">
        <f t="shared" si="4"/>
        <v>260</v>
      </c>
      <c r="B263" s="80" t="s">
        <v>841</v>
      </c>
      <c r="C263" s="80" t="s">
        <v>661</v>
      </c>
      <c r="F263" s="80" t="s">
        <v>655</v>
      </c>
      <c r="G263" s="80" t="s">
        <v>456</v>
      </c>
      <c r="H263" s="80">
        <v>0</v>
      </c>
      <c r="I263" s="80" t="s">
        <v>456</v>
      </c>
      <c r="J263" s="79">
        <v>12</v>
      </c>
      <c r="K263" s="79">
        <v>0</v>
      </c>
      <c r="L263" s="79">
        <v>0</v>
      </c>
      <c r="M263" s="79" t="s">
        <v>579</v>
      </c>
      <c r="N263" s="79" t="s">
        <v>452</v>
      </c>
      <c r="P263" s="79" t="s">
        <v>453</v>
      </c>
      <c r="Q263" s="79" t="s">
        <v>453</v>
      </c>
    </row>
    <row r="264" spans="1:17">
      <c r="A264" s="172">
        <f t="shared" si="4"/>
        <v>261</v>
      </c>
      <c r="B264" s="80" t="s">
        <v>842</v>
      </c>
      <c r="C264" s="80" t="s">
        <v>661</v>
      </c>
      <c r="F264" s="80" t="s">
        <v>655</v>
      </c>
      <c r="G264" s="80" t="s">
        <v>456</v>
      </c>
      <c r="H264" s="80">
        <v>0</v>
      </c>
      <c r="I264" s="80" t="s">
        <v>456</v>
      </c>
      <c r="J264" s="79">
        <v>4</v>
      </c>
      <c r="K264" s="79">
        <v>0</v>
      </c>
      <c r="L264" s="79">
        <v>0</v>
      </c>
      <c r="M264" s="79" t="s">
        <v>579</v>
      </c>
      <c r="N264" s="79" t="s">
        <v>452</v>
      </c>
      <c r="P264" s="79" t="s">
        <v>453</v>
      </c>
      <c r="Q264" s="79" t="s">
        <v>453</v>
      </c>
    </row>
    <row r="265" spans="1:17">
      <c r="A265" s="172">
        <f t="shared" si="4"/>
        <v>262</v>
      </c>
      <c r="B265" s="80" t="s">
        <v>843</v>
      </c>
      <c r="C265" s="80" t="s">
        <v>661</v>
      </c>
      <c r="F265" s="80" t="s">
        <v>655</v>
      </c>
      <c r="G265" s="80" t="s">
        <v>456</v>
      </c>
      <c r="H265" s="80">
        <v>0</v>
      </c>
      <c r="I265" s="80" t="s">
        <v>456</v>
      </c>
      <c r="J265" s="79">
        <v>4</v>
      </c>
      <c r="K265" s="79">
        <v>0</v>
      </c>
      <c r="L265" s="79">
        <v>0</v>
      </c>
      <c r="M265" s="79" t="s">
        <v>579</v>
      </c>
      <c r="N265" s="79" t="s">
        <v>452</v>
      </c>
      <c r="P265" s="79" t="s">
        <v>453</v>
      </c>
      <c r="Q265" s="79" t="s">
        <v>453</v>
      </c>
    </row>
    <row r="266" spans="1:17">
      <c r="A266" s="172">
        <f t="shared" si="4"/>
        <v>263</v>
      </c>
      <c r="B266" s="80" t="s">
        <v>844</v>
      </c>
      <c r="C266" s="80" t="s">
        <v>661</v>
      </c>
      <c r="F266" s="80" t="s">
        <v>655</v>
      </c>
      <c r="G266" s="80" t="s">
        <v>456</v>
      </c>
      <c r="H266" s="80">
        <v>0</v>
      </c>
      <c r="I266" s="80" t="s">
        <v>456</v>
      </c>
      <c r="J266" s="79">
        <v>4</v>
      </c>
      <c r="K266" s="79">
        <v>0</v>
      </c>
      <c r="L266" s="79">
        <v>0</v>
      </c>
      <c r="M266" s="79" t="s">
        <v>579</v>
      </c>
      <c r="N266" s="79" t="s">
        <v>452</v>
      </c>
      <c r="P266" s="79" t="s">
        <v>453</v>
      </c>
      <c r="Q266" s="79" t="s">
        <v>453</v>
      </c>
    </row>
    <row r="267" spans="1:17">
      <c r="A267" s="172">
        <f t="shared" si="4"/>
        <v>264</v>
      </c>
      <c r="B267" s="80" t="s">
        <v>845</v>
      </c>
      <c r="C267" s="80" t="s">
        <v>661</v>
      </c>
      <c r="F267" s="80" t="s">
        <v>655</v>
      </c>
      <c r="G267" s="80" t="s">
        <v>456</v>
      </c>
      <c r="H267" s="80">
        <v>0</v>
      </c>
      <c r="I267" s="80" t="s">
        <v>456</v>
      </c>
      <c r="J267" s="79">
        <v>4</v>
      </c>
      <c r="K267" s="79">
        <v>0</v>
      </c>
      <c r="L267" s="79">
        <v>0</v>
      </c>
      <c r="M267" s="79" t="s">
        <v>579</v>
      </c>
      <c r="N267" s="79" t="s">
        <v>452</v>
      </c>
      <c r="P267" s="79" t="s">
        <v>453</v>
      </c>
      <c r="Q267" s="79" t="s">
        <v>453</v>
      </c>
    </row>
    <row r="268" spans="1:17">
      <c r="A268" s="172">
        <f t="shared" si="4"/>
        <v>265</v>
      </c>
      <c r="B268" s="80" t="s">
        <v>846</v>
      </c>
      <c r="C268" s="80" t="s">
        <v>661</v>
      </c>
      <c r="F268" s="80" t="s">
        <v>655</v>
      </c>
      <c r="G268" s="80" t="s">
        <v>456</v>
      </c>
      <c r="H268" s="80">
        <v>0</v>
      </c>
      <c r="I268" s="80" t="s">
        <v>456</v>
      </c>
      <c r="J268" s="79">
        <v>4</v>
      </c>
      <c r="K268" s="79">
        <v>0</v>
      </c>
      <c r="L268" s="79">
        <v>0</v>
      </c>
      <c r="M268" s="79" t="s">
        <v>579</v>
      </c>
      <c r="N268" s="79" t="s">
        <v>452</v>
      </c>
      <c r="P268" s="79" t="s">
        <v>453</v>
      </c>
      <c r="Q268" s="79" t="s">
        <v>453</v>
      </c>
    </row>
    <row r="269" spans="1:17">
      <c r="A269" s="172">
        <f t="shared" si="4"/>
        <v>266</v>
      </c>
      <c r="B269" s="80" t="s">
        <v>847</v>
      </c>
      <c r="C269" s="80" t="s">
        <v>661</v>
      </c>
      <c r="F269" s="80" t="s">
        <v>655</v>
      </c>
      <c r="G269" s="80" t="s">
        <v>456</v>
      </c>
      <c r="H269" s="80">
        <v>0</v>
      </c>
      <c r="I269" s="80" t="s">
        <v>456</v>
      </c>
      <c r="J269" s="79">
        <v>4</v>
      </c>
      <c r="K269" s="79">
        <v>0</v>
      </c>
      <c r="L269" s="79">
        <v>0</v>
      </c>
      <c r="M269" s="79" t="s">
        <v>579</v>
      </c>
      <c r="N269" s="79" t="s">
        <v>452</v>
      </c>
      <c r="P269" s="79" t="s">
        <v>453</v>
      </c>
      <c r="Q269" s="79" t="s">
        <v>453</v>
      </c>
    </row>
    <row r="270" spans="1:17">
      <c r="A270" s="172">
        <f t="shared" si="4"/>
        <v>267</v>
      </c>
      <c r="B270" s="80" t="s">
        <v>848</v>
      </c>
      <c r="C270" s="80" t="s">
        <v>661</v>
      </c>
      <c r="F270" s="80" t="s">
        <v>655</v>
      </c>
      <c r="G270" s="80" t="s">
        <v>456</v>
      </c>
      <c r="H270" s="80">
        <v>0</v>
      </c>
      <c r="I270" s="80" t="s">
        <v>456</v>
      </c>
      <c r="J270" s="79">
        <v>4</v>
      </c>
      <c r="K270" s="79">
        <v>0</v>
      </c>
      <c r="L270" s="79">
        <v>0</v>
      </c>
      <c r="M270" s="79" t="s">
        <v>579</v>
      </c>
      <c r="N270" s="79" t="s">
        <v>452</v>
      </c>
      <c r="P270" s="79" t="s">
        <v>453</v>
      </c>
      <c r="Q270" s="79" t="s">
        <v>453</v>
      </c>
    </row>
    <row r="271" spans="1:17">
      <c r="A271" s="172">
        <f t="shared" si="4"/>
        <v>268</v>
      </c>
      <c r="B271" s="80" t="s">
        <v>849</v>
      </c>
      <c r="C271" s="80" t="s">
        <v>661</v>
      </c>
      <c r="F271" s="80" t="s">
        <v>655</v>
      </c>
      <c r="G271" s="80" t="s">
        <v>456</v>
      </c>
      <c r="H271" s="80">
        <v>0</v>
      </c>
      <c r="I271" s="80" t="s">
        <v>456</v>
      </c>
      <c r="J271" s="79">
        <v>4</v>
      </c>
      <c r="K271" s="79">
        <v>0</v>
      </c>
      <c r="L271" s="79">
        <v>0</v>
      </c>
      <c r="M271" s="79" t="s">
        <v>579</v>
      </c>
      <c r="N271" s="79" t="s">
        <v>452</v>
      </c>
      <c r="P271" s="79" t="s">
        <v>453</v>
      </c>
      <c r="Q271" s="79" t="s">
        <v>453</v>
      </c>
    </row>
    <row r="272" spans="1:17">
      <c r="A272" s="172">
        <f t="shared" si="4"/>
        <v>269</v>
      </c>
      <c r="B272" s="80" t="s">
        <v>850</v>
      </c>
      <c r="C272" s="80" t="s">
        <v>661</v>
      </c>
      <c r="D272" s="80" t="s">
        <v>850</v>
      </c>
      <c r="E272" s="80" t="s">
        <v>851</v>
      </c>
      <c r="F272" s="80" t="s">
        <v>655</v>
      </c>
      <c r="G272" s="80" t="s">
        <v>456</v>
      </c>
      <c r="H272" s="80">
        <v>0</v>
      </c>
      <c r="I272" s="80" t="s">
        <v>456</v>
      </c>
      <c r="J272" s="79">
        <v>4</v>
      </c>
      <c r="K272" s="79">
        <v>0</v>
      </c>
      <c r="L272" s="79">
        <v>0</v>
      </c>
      <c r="M272" s="79" t="s">
        <v>579</v>
      </c>
      <c r="N272" s="79" t="s">
        <v>452</v>
      </c>
      <c r="P272" s="79" t="s">
        <v>453</v>
      </c>
      <c r="Q272" s="79" t="s">
        <v>453</v>
      </c>
    </row>
    <row r="273" spans="1:17">
      <c r="A273" s="172">
        <f t="shared" si="4"/>
        <v>270</v>
      </c>
      <c r="B273" s="80" t="s">
        <v>852</v>
      </c>
      <c r="C273" s="80" t="s">
        <v>661</v>
      </c>
      <c r="F273" s="80" t="s">
        <v>655</v>
      </c>
      <c r="G273" s="80" t="s">
        <v>456</v>
      </c>
      <c r="H273" s="80">
        <v>0</v>
      </c>
      <c r="I273" s="80" t="s">
        <v>456</v>
      </c>
      <c r="J273" s="79">
        <v>12</v>
      </c>
      <c r="K273" s="79">
        <v>0</v>
      </c>
      <c r="L273" s="79">
        <v>0</v>
      </c>
      <c r="M273" s="79" t="s">
        <v>579</v>
      </c>
      <c r="N273" s="79" t="s">
        <v>452</v>
      </c>
      <c r="P273" s="79" t="s">
        <v>453</v>
      </c>
      <c r="Q273" s="79" t="s">
        <v>453</v>
      </c>
    </row>
    <row r="274" spans="1:17">
      <c r="A274" s="172">
        <f t="shared" si="4"/>
        <v>271</v>
      </c>
      <c r="B274" s="80" t="s">
        <v>853</v>
      </c>
      <c r="C274" s="80" t="s">
        <v>661</v>
      </c>
      <c r="F274" s="80" t="s">
        <v>655</v>
      </c>
      <c r="G274" s="80" t="s">
        <v>456</v>
      </c>
      <c r="H274" s="80">
        <v>0</v>
      </c>
      <c r="I274" s="80" t="s">
        <v>456</v>
      </c>
      <c r="J274" s="79">
        <v>12</v>
      </c>
      <c r="K274" s="79">
        <v>0</v>
      </c>
      <c r="L274" s="79">
        <v>0</v>
      </c>
      <c r="M274" s="79" t="s">
        <v>579</v>
      </c>
      <c r="N274" s="79" t="s">
        <v>452</v>
      </c>
      <c r="P274" s="79" t="s">
        <v>453</v>
      </c>
      <c r="Q274" s="79" t="s">
        <v>453</v>
      </c>
    </row>
    <row r="275" spans="1:17">
      <c r="A275" s="172">
        <f t="shared" si="4"/>
        <v>272</v>
      </c>
      <c r="B275" s="80" t="s">
        <v>854</v>
      </c>
      <c r="C275" s="80" t="s">
        <v>661</v>
      </c>
      <c r="F275" s="80" t="s">
        <v>655</v>
      </c>
      <c r="G275" s="80" t="s">
        <v>456</v>
      </c>
      <c r="H275" s="80">
        <v>0</v>
      </c>
      <c r="I275" s="80" t="s">
        <v>456</v>
      </c>
      <c r="J275" s="79">
        <v>4</v>
      </c>
      <c r="K275" s="79">
        <v>0</v>
      </c>
      <c r="L275" s="79">
        <v>0</v>
      </c>
      <c r="M275" s="79" t="s">
        <v>579</v>
      </c>
      <c r="N275" s="79" t="s">
        <v>452</v>
      </c>
      <c r="P275" s="79" t="s">
        <v>453</v>
      </c>
      <c r="Q275" s="79" t="s">
        <v>453</v>
      </c>
    </row>
    <row r="276" spans="1:17">
      <c r="A276" s="172">
        <f t="shared" si="4"/>
        <v>273</v>
      </c>
      <c r="B276" s="80" t="s">
        <v>855</v>
      </c>
      <c r="C276" s="80" t="s">
        <v>661</v>
      </c>
      <c r="F276" s="80" t="s">
        <v>655</v>
      </c>
      <c r="G276" s="80" t="s">
        <v>456</v>
      </c>
      <c r="H276" s="80">
        <v>0</v>
      </c>
      <c r="I276" s="80" t="s">
        <v>456</v>
      </c>
      <c r="J276" s="79">
        <v>4</v>
      </c>
      <c r="K276" s="79">
        <v>0</v>
      </c>
      <c r="L276" s="79">
        <v>0</v>
      </c>
      <c r="M276" s="79" t="s">
        <v>579</v>
      </c>
      <c r="N276" s="79" t="s">
        <v>452</v>
      </c>
      <c r="P276" s="79" t="s">
        <v>453</v>
      </c>
      <c r="Q276" s="79" t="s">
        <v>453</v>
      </c>
    </row>
    <row r="277" spans="1:17">
      <c r="A277" s="172">
        <f t="shared" si="4"/>
        <v>274</v>
      </c>
      <c r="B277" s="80" t="s">
        <v>856</v>
      </c>
      <c r="C277" s="80" t="s">
        <v>661</v>
      </c>
      <c r="F277" s="80" t="s">
        <v>655</v>
      </c>
      <c r="G277" s="80" t="s">
        <v>456</v>
      </c>
      <c r="H277" s="80">
        <v>0</v>
      </c>
      <c r="I277" s="80" t="s">
        <v>456</v>
      </c>
      <c r="J277" s="79">
        <v>4</v>
      </c>
      <c r="K277" s="79">
        <v>0</v>
      </c>
      <c r="L277" s="79">
        <v>0</v>
      </c>
      <c r="M277" s="79" t="s">
        <v>579</v>
      </c>
      <c r="N277" s="79" t="s">
        <v>452</v>
      </c>
      <c r="P277" s="79" t="s">
        <v>453</v>
      </c>
      <c r="Q277" s="79" t="s">
        <v>453</v>
      </c>
    </row>
    <row r="278" spans="1:17">
      <c r="A278" s="172">
        <f t="shared" ref="A278:A341" si="5">A277+1</f>
        <v>275</v>
      </c>
      <c r="B278" s="80" t="s">
        <v>857</v>
      </c>
      <c r="C278" s="80" t="s">
        <v>661</v>
      </c>
      <c r="F278" s="80" t="s">
        <v>655</v>
      </c>
      <c r="G278" s="80" t="s">
        <v>456</v>
      </c>
      <c r="H278" s="80">
        <v>0</v>
      </c>
      <c r="I278" s="80" t="s">
        <v>456</v>
      </c>
      <c r="J278" s="79">
        <v>4</v>
      </c>
      <c r="K278" s="79">
        <v>0</v>
      </c>
      <c r="L278" s="79">
        <v>0</v>
      </c>
      <c r="M278" s="79" t="s">
        <v>579</v>
      </c>
      <c r="N278" s="79" t="s">
        <v>452</v>
      </c>
      <c r="P278" s="79" t="s">
        <v>453</v>
      </c>
      <c r="Q278" s="79" t="s">
        <v>453</v>
      </c>
    </row>
    <row r="279" spans="1:17">
      <c r="A279" s="172">
        <f t="shared" si="5"/>
        <v>276</v>
      </c>
      <c r="B279" s="80" t="s">
        <v>858</v>
      </c>
      <c r="C279" s="80" t="s">
        <v>661</v>
      </c>
      <c r="F279" s="80" t="s">
        <v>655</v>
      </c>
      <c r="G279" s="80" t="s">
        <v>456</v>
      </c>
      <c r="H279" s="80">
        <v>0</v>
      </c>
      <c r="I279" s="80" t="s">
        <v>456</v>
      </c>
      <c r="J279" s="79">
        <v>4</v>
      </c>
      <c r="K279" s="79">
        <v>0</v>
      </c>
      <c r="L279" s="79">
        <v>0</v>
      </c>
      <c r="M279" s="79" t="s">
        <v>579</v>
      </c>
      <c r="N279" s="79" t="s">
        <v>452</v>
      </c>
      <c r="P279" s="79" t="s">
        <v>453</v>
      </c>
      <c r="Q279" s="79" t="s">
        <v>453</v>
      </c>
    </row>
    <row r="280" spans="1:17">
      <c r="A280" s="172">
        <f t="shared" si="5"/>
        <v>277</v>
      </c>
      <c r="B280" s="80" t="s">
        <v>859</v>
      </c>
      <c r="C280" s="80" t="s">
        <v>661</v>
      </c>
      <c r="F280" s="80" t="s">
        <v>655</v>
      </c>
      <c r="G280" s="80" t="s">
        <v>456</v>
      </c>
      <c r="H280" s="80">
        <v>0</v>
      </c>
      <c r="I280" s="80" t="s">
        <v>456</v>
      </c>
      <c r="J280" s="79">
        <v>4</v>
      </c>
      <c r="K280" s="79">
        <v>0</v>
      </c>
      <c r="L280" s="79">
        <v>0</v>
      </c>
      <c r="M280" s="79" t="s">
        <v>579</v>
      </c>
      <c r="N280" s="79" t="s">
        <v>452</v>
      </c>
      <c r="P280" s="79" t="s">
        <v>453</v>
      </c>
      <c r="Q280" s="79" t="s">
        <v>453</v>
      </c>
    </row>
    <row r="281" spans="1:17">
      <c r="A281" s="172">
        <f t="shared" si="5"/>
        <v>278</v>
      </c>
      <c r="B281" s="80" t="s">
        <v>860</v>
      </c>
      <c r="C281" s="80" t="s">
        <v>661</v>
      </c>
      <c r="F281" s="80" t="s">
        <v>655</v>
      </c>
      <c r="G281" s="80" t="s">
        <v>456</v>
      </c>
      <c r="H281" s="80">
        <v>0</v>
      </c>
      <c r="I281" s="80" t="s">
        <v>456</v>
      </c>
      <c r="J281" s="79">
        <v>4</v>
      </c>
      <c r="K281" s="79">
        <v>0</v>
      </c>
      <c r="L281" s="79">
        <v>0</v>
      </c>
      <c r="M281" s="79" t="s">
        <v>579</v>
      </c>
      <c r="N281" s="79" t="s">
        <v>452</v>
      </c>
      <c r="P281" s="79" t="s">
        <v>453</v>
      </c>
      <c r="Q281" s="79" t="s">
        <v>453</v>
      </c>
    </row>
    <row r="282" spans="1:17">
      <c r="A282" s="172">
        <f t="shared" si="5"/>
        <v>279</v>
      </c>
      <c r="B282" s="80" t="s">
        <v>861</v>
      </c>
      <c r="C282" s="80" t="s">
        <v>661</v>
      </c>
      <c r="F282" s="80" t="s">
        <v>655</v>
      </c>
      <c r="G282" s="80" t="s">
        <v>456</v>
      </c>
      <c r="H282" s="80">
        <v>0</v>
      </c>
      <c r="I282" s="80" t="s">
        <v>456</v>
      </c>
      <c r="J282" s="79">
        <v>4</v>
      </c>
      <c r="K282" s="79">
        <v>0</v>
      </c>
      <c r="L282" s="79">
        <v>0</v>
      </c>
      <c r="M282" s="79" t="s">
        <v>579</v>
      </c>
      <c r="N282" s="79" t="s">
        <v>452</v>
      </c>
      <c r="P282" s="79" t="s">
        <v>453</v>
      </c>
      <c r="Q282" s="79" t="s">
        <v>453</v>
      </c>
    </row>
    <row r="283" spans="1:17">
      <c r="A283" s="172">
        <f t="shared" si="5"/>
        <v>280</v>
      </c>
      <c r="B283" s="80" t="s">
        <v>862</v>
      </c>
      <c r="C283" s="80" t="s">
        <v>661</v>
      </c>
      <c r="F283" s="80" t="s">
        <v>655</v>
      </c>
      <c r="G283" s="80" t="s">
        <v>456</v>
      </c>
      <c r="H283" s="80">
        <v>0</v>
      </c>
      <c r="I283" s="80" t="s">
        <v>456</v>
      </c>
      <c r="J283" s="79">
        <v>4</v>
      </c>
      <c r="K283" s="79">
        <v>0</v>
      </c>
      <c r="L283" s="79">
        <v>0</v>
      </c>
      <c r="M283" s="79" t="s">
        <v>579</v>
      </c>
      <c r="N283" s="79" t="s">
        <v>452</v>
      </c>
      <c r="P283" s="79" t="s">
        <v>453</v>
      </c>
      <c r="Q283" s="79" t="s">
        <v>453</v>
      </c>
    </row>
    <row r="284" spans="1:17">
      <c r="A284" s="172">
        <f t="shared" si="5"/>
        <v>281</v>
      </c>
      <c r="B284" s="80" t="s">
        <v>863</v>
      </c>
      <c r="C284" s="80" t="s">
        <v>661</v>
      </c>
      <c r="F284" s="80" t="s">
        <v>655</v>
      </c>
      <c r="G284" s="80" t="s">
        <v>456</v>
      </c>
      <c r="H284" s="80">
        <v>0</v>
      </c>
      <c r="I284" s="80" t="s">
        <v>456</v>
      </c>
      <c r="J284" s="79">
        <v>4</v>
      </c>
      <c r="K284" s="79">
        <v>0</v>
      </c>
      <c r="L284" s="79">
        <v>0</v>
      </c>
      <c r="M284" s="79" t="s">
        <v>579</v>
      </c>
      <c r="N284" s="79" t="s">
        <v>452</v>
      </c>
      <c r="P284" s="79" t="s">
        <v>453</v>
      </c>
      <c r="Q284" s="79" t="s">
        <v>453</v>
      </c>
    </row>
    <row r="285" spans="1:17">
      <c r="A285" s="172">
        <f t="shared" si="5"/>
        <v>282</v>
      </c>
      <c r="B285" s="80" t="s">
        <v>864</v>
      </c>
      <c r="C285" s="80" t="s">
        <v>661</v>
      </c>
      <c r="F285" s="80" t="s">
        <v>655</v>
      </c>
      <c r="G285" s="80" t="s">
        <v>456</v>
      </c>
      <c r="H285" s="80">
        <v>0</v>
      </c>
      <c r="I285" s="80" t="s">
        <v>456</v>
      </c>
      <c r="J285" s="79">
        <v>4</v>
      </c>
      <c r="K285" s="79">
        <v>0</v>
      </c>
      <c r="L285" s="79">
        <v>0</v>
      </c>
      <c r="M285" s="79" t="s">
        <v>579</v>
      </c>
      <c r="N285" s="79" t="s">
        <v>452</v>
      </c>
      <c r="P285" s="79" t="s">
        <v>453</v>
      </c>
      <c r="Q285" s="79" t="s">
        <v>453</v>
      </c>
    </row>
    <row r="286" spans="1:17">
      <c r="A286" s="172">
        <f t="shared" si="5"/>
        <v>283</v>
      </c>
      <c r="B286" s="80" t="s">
        <v>865</v>
      </c>
      <c r="C286" s="80" t="s">
        <v>661</v>
      </c>
      <c r="F286" s="80" t="s">
        <v>655</v>
      </c>
      <c r="G286" s="80" t="s">
        <v>456</v>
      </c>
      <c r="H286" s="80">
        <v>0</v>
      </c>
      <c r="I286" s="80" t="s">
        <v>456</v>
      </c>
      <c r="J286" s="79">
        <v>4</v>
      </c>
      <c r="K286" s="79">
        <v>0</v>
      </c>
      <c r="L286" s="79">
        <v>0</v>
      </c>
      <c r="M286" s="79" t="s">
        <v>579</v>
      </c>
      <c r="N286" s="79" t="s">
        <v>452</v>
      </c>
      <c r="P286" s="79" t="s">
        <v>453</v>
      </c>
      <c r="Q286" s="79" t="s">
        <v>453</v>
      </c>
    </row>
    <row r="287" spans="1:17">
      <c r="A287" s="172">
        <f t="shared" si="5"/>
        <v>284</v>
      </c>
      <c r="B287" s="80" t="s">
        <v>866</v>
      </c>
      <c r="C287" s="80" t="s">
        <v>661</v>
      </c>
      <c r="F287" s="80" t="s">
        <v>655</v>
      </c>
      <c r="G287" s="80" t="s">
        <v>456</v>
      </c>
      <c r="H287" s="80">
        <v>0</v>
      </c>
      <c r="I287" s="80" t="s">
        <v>456</v>
      </c>
      <c r="J287" s="79">
        <v>4</v>
      </c>
      <c r="K287" s="79">
        <v>0</v>
      </c>
      <c r="L287" s="79">
        <v>0</v>
      </c>
      <c r="M287" s="79" t="s">
        <v>579</v>
      </c>
      <c r="N287" s="79" t="s">
        <v>452</v>
      </c>
      <c r="P287" s="79" t="s">
        <v>453</v>
      </c>
      <c r="Q287" s="79" t="s">
        <v>453</v>
      </c>
    </row>
    <row r="288" spans="1:17">
      <c r="A288" s="172">
        <f t="shared" si="5"/>
        <v>285</v>
      </c>
      <c r="B288" s="80" t="s">
        <v>867</v>
      </c>
      <c r="C288" s="80" t="s">
        <v>661</v>
      </c>
      <c r="F288" s="80" t="s">
        <v>655</v>
      </c>
      <c r="G288" s="80" t="s">
        <v>456</v>
      </c>
      <c r="H288" s="80">
        <v>0</v>
      </c>
      <c r="I288" s="80" t="s">
        <v>456</v>
      </c>
      <c r="J288" s="79">
        <v>4</v>
      </c>
      <c r="K288" s="79">
        <v>0</v>
      </c>
      <c r="L288" s="79">
        <v>0</v>
      </c>
      <c r="M288" s="79" t="s">
        <v>579</v>
      </c>
      <c r="N288" s="79" t="s">
        <v>452</v>
      </c>
      <c r="P288" s="79" t="s">
        <v>453</v>
      </c>
      <c r="Q288" s="79" t="s">
        <v>453</v>
      </c>
    </row>
    <row r="289" spans="1:17">
      <c r="A289" s="172">
        <f t="shared" si="5"/>
        <v>286</v>
      </c>
      <c r="B289" s="80" t="s">
        <v>868</v>
      </c>
      <c r="C289" s="80" t="s">
        <v>661</v>
      </c>
      <c r="F289" s="80" t="s">
        <v>655</v>
      </c>
      <c r="G289" s="80" t="s">
        <v>456</v>
      </c>
      <c r="H289" s="80">
        <v>0</v>
      </c>
      <c r="I289" s="80" t="s">
        <v>456</v>
      </c>
      <c r="J289" s="79">
        <v>4</v>
      </c>
      <c r="K289" s="79">
        <v>0</v>
      </c>
      <c r="L289" s="79">
        <v>0</v>
      </c>
      <c r="M289" s="79" t="s">
        <v>579</v>
      </c>
      <c r="N289" s="79" t="s">
        <v>452</v>
      </c>
      <c r="P289" s="79" t="s">
        <v>453</v>
      </c>
      <c r="Q289" s="79" t="s">
        <v>453</v>
      </c>
    </row>
    <row r="290" spans="1:17">
      <c r="A290" s="172">
        <f t="shared" si="5"/>
        <v>287</v>
      </c>
      <c r="B290" s="80" t="s">
        <v>869</v>
      </c>
      <c r="C290" s="80" t="s">
        <v>661</v>
      </c>
      <c r="F290" s="80" t="s">
        <v>655</v>
      </c>
      <c r="G290" s="80" t="s">
        <v>456</v>
      </c>
      <c r="H290" s="80">
        <v>0</v>
      </c>
      <c r="I290" s="80" t="s">
        <v>456</v>
      </c>
      <c r="J290" s="79">
        <v>4</v>
      </c>
      <c r="K290" s="79">
        <v>0</v>
      </c>
      <c r="L290" s="79">
        <v>0</v>
      </c>
      <c r="M290" s="79" t="s">
        <v>579</v>
      </c>
      <c r="N290" s="79" t="s">
        <v>452</v>
      </c>
      <c r="P290" s="79" t="s">
        <v>453</v>
      </c>
      <c r="Q290" s="79" t="s">
        <v>453</v>
      </c>
    </row>
    <row r="291" spans="1:17">
      <c r="A291" s="172">
        <f t="shared" si="5"/>
        <v>288</v>
      </c>
      <c r="B291" s="80" t="s">
        <v>870</v>
      </c>
      <c r="C291" s="80" t="s">
        <v>661</v>
      </c>
      <c r="F291" s="80" t="s">
        <v>655</v>
      </c>
      <c r="G291" s="80" t="s">
        <v>456</v>
      </c>
      <c r="H291" s="80">
        <v>0</v>
      </c>
      <c r="I291" s="80" t="s">
        <v>456</v>
      </c>
      <c r="J291" s="79">
        <v>4</v>
      </c>
      <c r="K291" s="79">
        <v>0</v>
      </c>
      <c r="L291" s="79">
        <v>0</v>
      </c>
      <c r="M291" s="79" t="s">
        <v>579</v>
      </c>
      <c r="N291" s="79" t="s">
        <v>452</v>
      </c>
      <c r="P291" s="79" t="s">
        <v>453</v>
      </c>
      <c r="Q291" s="79" t="s">
        <v>453</v>
      </c>
    </row>
    <row r="292" spans="1:17">
      <c r="A292" s="172">
        <f t="shared" si="5"/>
        <v>289</v>
      </c>
      <c r="B292" s="80" t="s">
        <v>871</v>
      </c>
      <c r="C292" s="80" t="s">
        <v>661</v>
      </c>
      <c r="F292" s="80" t="s">
        <v>655</v>
      </c>
      <c r="G292" s="80" t="s">
        <v>456</v>
      </c>
      <c r="H292" s="80">
        <v>0</v>
      </c>
      <c r="I292" s="80" t="s">
        <v>456</v>
      </c>
      <c r="J292" s="79">
        <v>4</v>
      </c>
      <c r="K292" s="79">
        <v>0</v>
      </c>
      <c r="L292" s="79">
        <v>0</v>
      </c>
      <c r="M292" s="79" t="s">
        <v>579</v>
      </c>
      <c r="N292" s="79" t="s">
        <v>452</v>
      </c>
      <c r="P292" s="79" t="s">
        <v>453</v>
      </c>
      <c r="Q292" s="79" t="s">
        <v>453</v>
      </c>
    </row>
    <row r="293" spans="1:17">
      <c r="A293" s="172">
        <f t="shared" si="5"/>
        <v>290</v>
      </c>
      <c r="B293" s="80" t="s">
        <v>872</v>
      </c>
      <c r="C293" s="80" t="s">
        <v>661</v>
      </c>
      <c r="F293" s="80" t="s">
        <v>655</v>
      </c>
      <c r="G293" s="80" t="s">
        <v>456</v>
      </c>
      <c r="H293" s="80">
        <v>0</v>
      </c>
      <c r="I293" s="80" t="s">
        <v>456</v>
      </c>
      <c r="J293" s="79">
        <v>4</v>
      </c>
      <c r="K293" s="79">
        <v>0</v>
      </c>
      <c r="L293" s="79">
        <v>0</v>
      </c>
      <c r="M293" s="79" t="s">
        <v>579</v>
      </c>
      <c r="N293" s="79" t="s">
        <v>452</v>
      </c>
      <c r="P293" s="79" t="s">
        <v>453</v>
      </c>
      <c r="Q293" s="79" t="s">
        <v>453</v>
      </c>
    </row>
    <row r="294" spans="1:17">
      <c r="A294" s="172">
        <f t="shared" si="5"/>
        <v>291</v>
      </c>
      <c r="B294" s="80" t="s">
        <v>873</v>
      </c>
      <c r="C294" s="80" t="s">
        <v>661</v>
      </c>
      <c r="F294" s="80" t="s">
        <v>655</v>
      </c>
      <c r="G294" s="80" t="s">
        <v>456</v>
      </c>
      <c r="H294" s="80">
        <v>0</v>
      </c>
      <c r="I294" s="80" t="s">
        <v>456</v>
      </c>
      <c r="J294" s="79">
        <v>4</v>
      </c>
      <c r="K294" s="79">
        <v>0</v>
      </c>
      <c r="L294" s="79">
        <v>0</v>
      </c>
      <c r="M294" s="79" t="s">
        <v>579</v>
      </c>
      <c r="N294" s="79" t="s">
        <v>452</v>
      </c>
      <c r="P294" s="79" t="s">
        <v>453</v>
      </c>
      <c r="Q294" s="79" t="s">
        <v>453</v>
      </c>
    </row>
    <row r="295" spans="1:17">
      <c r="A295" s="172">
        <f t="shared" si="5"/>
        <v>292</v>
      </c>
      <c r="B295" s="80" t="s">
        <v>874</v>
      </c>
      <c r="C295" s="80" t="s">
        <v>661</v>
      </c>
      <c r="F295" s="80" t="s">
        <v>655</v>
      </c>
      <c r="G295" s="80" t="s">
        <v>456</v>
      </c>
      <c r="H295" s="80">
        <v>0</v>
      </c>
      <c r="I295" s="80" t="s">
        <v>456</v>
      </c>
      <c r="J295" s="79">
        <v>4</v>
      </c>
      <c r="K295" s="79">
        <v>0</v>
      </c>
      <c r="L295" s="79">
        <v>0</v>
      </c>
      <c r="M295" s="79" t="s">
        <v>579</v>
      </c>
      <c r="N295" s="79" t="s">
        <v>452</v>
      </c>
      <c r="P295" s="79" t="s">
        <v>453</v>
      </c>
      <c r="Q295" s="79" t="s">
        <v>453</v>
      </c>
    </row>
    <row r="296" spans="1:17">
      <c r="A296" s="172">
        <f t="shared" si="5"/>
        <v>293</v>
      </c>
      <c r="B296" s="80" t="s">
        <v>875</v>
      </c>
      <c r="C296" s="80" t="s">
        <v>661</v>
      </c>
      <c r="F296" s="80" t="s">
        <v>655</v>
      </c>
      <c r="G296" s="80" t="s">
        <v>456</v>
      </c>
      <c r="H296" s="80">
        <v>0</v>
      </c>
      <c r="I296" s="80" t="s">
        <v>456</v>
      </c>
      <c r="J296" s="79">
        <v>4</v>
      </c>
      <c r="K296" s="79">
        <v>0</v>
      </c>
      <c r="L296" s="79">
        <v>0</v>
      </c>
      <c r="M296" s="79" t="s">
        <v>579</v>
      </c>
      <c r="N296" s="79" t="s">
        <v>452</v>
      </c>
      <c r="P296" s="79" t="s">
        <v>453</v>
      </c>
      <c r="Q296" s="79" t="s">
        <v>453</v>
      </c>
    </row>
    <row r="297" spans="1:17">
      <c r="A297" s="172">
        <f t="shared" si="5"/>
        <v>294</v>
      </c>
      <c r="B297" s="80" t="s">
        <v>876</v>
      </c>
      <c r="C297" s="80" t="s">
        <v>661</v>
      </c>
      <c r="F297" s="80" t="s">
        <v>655</v>
      </c>
      <c r="G297" s="80" t="s">
        <v>456</v>
      </c>
      <c r="H297" s="80">
        <v>0</v>
      </c>
      <c r="I297" s="80" t="s">
        <v>456</v>
      </c>
      <c r="J297" s="79">
        <v>12</v>
      </c>
      <c r="K297" s="79">
        <v>0</v>
      </c>
      <c r="L297" s="79">
        <v>0</v>
      </c>
      <c r="M297" s="79" t="s">
        <v>579</v>
      </c>
      <c r="N297" s="79" t="s">
        <v>452</v>
      </c>
      <c r="P297" s="79" t="s">
        <v>453</v>
      </c>
      <c r="Q297" s="79" t="s">
        <v>453</v>
      </c>
    </row>
    <row r="298" spans="1:17" ht="26.4">
      <c r="A298" s="172">
        <f t="shared" si="5"/>
        <v>295</v>
      </c>
      <c r="B298" s="80" t="s">
        <v>877</v>
      </c>
      <c r="C298" s="80" t="s">
        <v>661</v>
      </c>
      <c r="F298" s="80" t="s">
        <v>655</v>
      </c>
      <c r="G298" s="80" t="s">
        <v>456</v>
      </c>
      <c r="H298" s="80">
        <v>0</v>
      </c>
      <c r="I298" s="80" t="s">
        <v>456</v>
      </c>
      <c r="J298" s="79">
        <v>12</v>
      </c>
      <c r="K298" s="79">
        <v>0</v>
      </c>
      <c r="L298" s="79">
        <v>0</v>
      </c>
      <c r="M298" s="79" t="s">
        <v>579</v>
      </c>
      <c r="N298" s="79" t="s">
        <v>452</v>
      </c>
      <c r="P298" s="79" t="s">
        <v>453</v>
      </c>
      <c r="Q298" s="79" t="s">
        <v>453</v>
      </c>
    </row>
    <row r="299" spans="1:17" ht="26.4">
      <c r="A299" s="172">
        <f t="shared" si="5"/>
        <v>296</v>
      </c>
      <c r="B299" s="80" t="s">
        <v>878</v>
      </c>
      <c r="C299" s="80" t="s">
        <v>661</v>
      </c>
      <c r="F299" s="80" t="s">
        <v>655</v>
      </c>
      <c r="G299" s="80" t="s">
        <v>456</v>
      </c>
      <c r="H299" s="80">
        <v>0</v>
      </c>
      <c r="I299" s="80" t="s">
        <v>456</v>
      </c>
      <c r="J299" s="79">
        <v>12</v>
      </c>
      <c r="K299" s="79">
        <v>0</v>
      </c>
      <c r="L299" s="79">
        <v>0</v>
      </c>
      <c r="M299" s="79" t="s">
        <v>579</v>
      </c>
      <c r="N299" s="79" t="s">
        <v>452</v>
      </c>
      <c r="P299" s="79" t="s">
        <v>453</v>
      </c>
      <c r="Q299" s="79" t="s">
        <v>453</v>
      </c>
    </row>
    <row r="300" spans="1:17">
      <c r="A300" s="172">
        <f t="shared" si="5"/>
        <v>297</v>
      </c>
      <c r="B300" s="80" t="s">
        <v>879</v>
      </c>
      <c r="C300" s="80" t="s">
        <v>661</v>
      </c>
      <c r="F300" s="80" t="s">
        <v>655</v>
      </c>
      <c r="G300" s="80" t="s">
        <v>456</v>
      </c>
      <c r="H300" s="80">
        <v>0</v>
      </c>
      <c r="I300" s="80" t="s">
        <v>456</v>
      </c>
      <c r="J300" s="79">
        <v>12</v>
      </c>
      <c r="K300" s="79">
        <v>0</v>
      </c>
      <c r="L300" s="79">
        <v>0</v>
      </c>
      <c r="M300" s="79" t="s">
        <v>579</v>
      </c>
      <c r="N300" s="79" t="s">
        <v>452</v>
      </c>
      <c r="P300" s="79" t="s">
        <v>453</v>
      </c>
      <c r="Q300" s="79" t="s">
        <v>453</v>
      </c>
    </row>
    <row r="301" spans="1:17">
      <c r="A301" s="172">
        <f t="shared" si="5"/>
        <v>298</v>
      </c>
      <c r="B301" s="80" t="s">
        <v>880</v>
      </c>
      <c r="C301" s="80" t="s">
        <v>661</v>
      </c>
      <c r="F301" s="80" t="s">
        <v>655</v>
      </c>
      <c r="G301" s="80" t="s">
        <v>456</v>
      </c>
      <c r="H301" s="80">
        <v>0</v>
      </c>
      <c r="I301" s="80" t="s">
        <v>456</v>
      </c>
      <c r="J301" s="79">
        <v>12</v>
      </c>
      <c r="K301" s="79">
        <v>0</v>
      </c>
      <c r="L301" s="79">
        <v>0</v>
      </c>
      <c r="M301" s="79" t="s">
        <v>579</v>
      </c>
      <c r="N301" s="79" t="s">
        <v>452</v>
      </c>
      <c r="P301" s="79" t="s">
        <v>453</v>
      </c>
      <c r="Q301" s="79" t="s">
        <v>453</v>
      </c>
    </row>
    <row r="302" spans="1:17">
      <c r="A302" s="172">
        <f t="shared" si="5"/>
        <v>299</v>
      </c>
      <c r="B302" s="80" t="s">
        <v>881</v>
      </c>
      <c r="C302" s="80" t="s">
        <v>661</v>
      </c>
      <c r="F302" s="80" t="s">
        <v>655</v>
      </c>
      <c r="G302" s="80" t="s">
        <v>456</v>
      </c>
      <c r="H302" s="80">
        <v>0</v>
      </c>
      <c r="I302" s="80" t="s">
        <v>456</v>
      </c>
      <c r="J302" s="79">
        <v>12</v>
      </c>
      <c r="K302" s="79">
        <v>0</v>
      </c>
      <c r="L302" s="79">
        <v>0</v>
      </c>
      <c r="M302" s="79" t="s">
        <v>579</v>
      </c>
      <c r="N302" s="79" t="s">
        <v>452</v>
      </c>
      <c r="P302" s="79" t="s">
        <v>453</v>
      </c>
      <c r="Q302" s="79" t="s">
        <v>453</v>
      </c>
    </row>
    <row r="303" spans="1:17" ht="26.4">
      <c r="A303" s="172">
        <f t="shared" si="5"/>
        <v>300</v>
      </c>
      <c r="B303" s="80" t="s">
        <v>882</v>
      </c>
      <c r="C303" s="80" t="s">
        <v>661</v>
      </c>
      <c r="F303" s="80" t="s">
        <v>655</v>
      </c>
      <c r="G303" s="80" t="s">
        <v>456</v>
      </c>
      <c r="H303" s="80">
        <v>0</v>
      </c>
      <c r="I303" s="80" t="s">
        <v>456</v>
      </c>
      <c r="J303" s="79">
        <v>12</v>
      </c>
      <c r="K303" s="79">
        <v>0</v>
      </c>
      <c r="L303" s="79">
        <v>0</v>
      </c>
      <c r="M303" s="79" t="s">
        <v>579</v>
      </c>
      <c r="N303" s="79" t="s">
        <v>452</v>
      </c>
      <c r="P303" s="79" t="s">
        <v>453</v>
      </c>
      <c r="Q303" s="79" t="s">
        <v>453</v>
      </c>
    </row>
    <row r="304" spans="1:17" ht="26.4">
      <c r="A304" s="172">
        <f t="shared" si="5"/>
        <v>301</v>
      </c>
      <c r="B304" s="80" t="s">
        <v>883</v>
      </c>
      <c r="C304" s="80" t="s">
        <v>661</v>
      </c>
      <c r="F304" s="80" t="s">
        <v>655</v>
      </c>
      <c r="G304" s="80" t="s">
        <v>456</v>
      </c>
      <c r="H304" s="80">
        <v>0</v>
      </c>
      <c r="I304" s="80" t="s">
        <v>456</v>
      </c>
      <c r="J304" s="79">
        <v>12</v>
      </c>
      <c r="K304" s="79">
        <v>0</v>
      </c>
      <c r="L304" s="79">
        <v>0</v>
      </c>
      <c r="M304" s="79" t="s">
        <v>579</v>
      </c>
      <c r="N304" s="79" t="s">
        <v>452</v>
      </c>
      <c r="P304" s="79" t="s">
        <v>453</v>
      </c>
      <c r="Q304" s="79" t="s">
        <v>453</v>
      </c>
    </row>
    <row r="305" spans="1:17">
      <c r="A305" s="172">
        <f t="shared" si="5"/>
        <v>302</v>
      </c>
      <c r="B305" s="80" t="s">
        <v>884</v>
      </c>
      <c r="C305" s="80" t="s">
        <v>661</v>
      </c>
      <c r="F305" s="80" t="s">
        <v>655</v>
      </c>
      <c r="G305" s="80" t="s">
        <v>456</v>
      </c>
      <c r="H305" s="80">
        <v>0</v>
      </c>
      <c r="I305" s="80" t="s">
        <v>456</v>
      </c>
      <c r="J305" s="79">
        <v>12</v>
      </c>
      <c r="K305" s="79">
        <v>0</v>
      </c>
      <c r="L305" s="79">
        <v>0</v>
      </c>
      <c r="M305" s="79" t="s">
        <v>579</v>
      </c>
      <c r="N305" s="79" t="s">
        <v>452</v>
      </c>
      <c r="P305" s="79" t="s">
        <v>453</v>
      </c>
      <c r="Q305" s="79" t="s">
        <v>453</v>
      </c>
    </row>
    <row r="306" spans="1:17" ht="26.4">
      <c r="A306" s="172">
        <f t="shared" si="5"/>
        <v>303</v>
      </c>
      <c r="B306" s="80" t="s">
        <v>885</v>
      </c>
      <c r="C306" s="80" t="s">
        <v>661</v>
      </c>
      <c r="F306" s="80" t="s">
        <v>655</v>
      </c>
      <c r="G306" s="80" t="s">
        <v>456</v>
      </c>
      <c r="H306" s="80">
        <v>0</v>
      </c>
      <c r="I306" s="80" t="s">
        <v>456</v>
      </c>
      <c r="J306" s="79">
        <v>12</v>
      </c>
      <c r="K306" s="79">
        <v>0</v>
      </c>
      <c r="L306" s="79">
        <v>0</v>
      </c>
      <c r="M306" s="79" t="s">
        <v>579</v>
      </c>
      <c r="N306" s="79" t="s">
        <v>452</v>
      </c>
      <c r="P306" s="79" t="s">
        <v>453</v>
      </c>
      <c r="Q306" s="79" t="s">
        <v>453</v>
      </c>
    </row>
    <row r="307" spans="1:17" ht="26.4">
      <c r="A307" s="172">
        <f t="shared" si="5"/>
        <v>304</v>
      </c>
      <c r="B307" s="80" t="s">
        <v>886</v>
      </c>
      <c r="C307" s="80" t="s">
        <v>661</v>
      </c>
      <c r="F307" s="80" t="s">
        <v>655</v>
      </c>
      <c r="G307" s="80" t="s">
        <v>456</v>
      </c>
      <c r="H307" s="80">
        <v>0</v>
      </c>
      <c r="I307" s="80" t="s">
        <v>456</v>
      </c>
      <c r="J307" s="79">
        <v>12</v>
      </c>
      <c r="K307" s="79">
        <v>0</v>
      </c>
      <c r="L307" s="79">
        <v>0</v>
      </c>
      <c r="M307" s="79" t="s">
        <v>579</v>
      </c>
      <c r="N307" s="79" t="s">
        <v>452</v>
      </c>
      <c r="P307" s="79" t="s">
        <v>453</v>
      </c>
      <c r="Q307" s="79" t="s">
        <v>453</v>
      </c>
    </row>
    <row r="308" spans="1:17" ht="26.4">
      <c r="A308" s="172">
        <f t="shared" si="5"/>
        <v>305</v>
      </c>
      <c r="B308" s="80" t="s">
        <v>887</v>
      </c>
      <c r="C308" s="80" t="s">
        <v>661</v>
      </c>
      <c r="F308" s="80" t="s">
        <v>655</v>
      </c>
      <c r="G308" s="80" t="s">
        <v>456</v>
      </c>
      <c r="H308" s="80">
        <v>0</v>
      </c>
      <c r="I308" s="80" t="s">
        <v>456</v>
      </c>
      <c r="J308" s="79">
        <v>12</v>
      </c>
      <c r="K308" s="79">
        <v>0</v>
      </c>
      <c r="L308" s="79">
        <v>0</v>
      </c>
      <c r="M308" s="79" t="s">
        <v>579</v>
      </c>
      <c r="N308" s="79" t="s">
        <v>452</v>
      </c>
      <c r="P308" s="79" t="s">
        <v>453</v>
      </c>
      <c r="Q308" s="79" t="s">
        <v>453</v>
      </c>
    </row>
    <row r="309" spans="1:17" ht="26.4">
      <c r="A309" s="172">
        <f t="shared" si="5"/>
        <v>306</v>
      </c>
      <c r="B309" s="80" t="s">
        <v>888</v>
      </c>
      <c r="C309" s="80" t="s">
        <v>661</v>
      </c>
      <c r="F309" s="80" t="s">
        <v>655</v>
      </c>
      <c r="G309" s="80" t="s">
        <v>456</v>
      </c>
      <c r="H309" s="80">
        <v>0</v>
      </c>
      <c r="I309" s="80" t="s">
        <v>456</v>
      </c>
      <c r="J309" s="79">
        <v>12</v>
      </c>
      <c r="K309" s="79">
        <v>0</v>
      </c>
      <c r="L309" s="79">
        <v>0</v>
      </c>
      <c r="M309" s="79" t="s">
        <v>579</v>
      </c>
      <c r="N309" s="79" t="s">
        <v>452</v>
      </c>
      <c r="P309" s="79" t="s">
        <v>453</v>
      </c>
      <c r="Q309" s="79" t="s">
        <v>453</v>
      </c>
    </row>
    <row r="310" spans="1:17" ht="26.4">
      <c r="A310" s="172">
        <f t="shared" si="5"/>
        <v>307</v>
      </c>
      <c r="B310" s="80" t="s">
        <v>889</v>
      </c>
      <c r="C310" s="80" t="s">
        <v>661</v>
      </c>
      <c r="F310" s="80" t="s">
        <v>655</v>
      </c>
      <c r="G310" s="80" t="s">
        <v>456</v>
      </c>
      <c r="H310" s="80">
        <v>0</v>
      </c>
      <c r="I310" s="80" t="s">
        <v>456</v>
      </c>
      <c r="J310" s="79">
        <v>12</v>
      </c>
      <c r="K310" s="79">
        <v>0</v>
      </c>
      <c r="L310" s="79">
        <v>0</v>
      </c>
      <c r="M310" s="79" t="s">
        <v>579</v>
      </c>
      <c r="N310" s="79" t="s">
        <v>452</v>
      </c>
      <c r="P310" s="79" t="s">
        <v>453</v>
      </c>
      <c r="Q310" s="79" t="s">
        <v>453</v>
      </c>
    </row>
    <row r="311" spans="1:17">
      <c r="A311" s="172">
        <f t="shared" si="5"/>
        <v>308</v>
      </c>
      <c r="B311" s="80" t="s">
        <v>890</v>
      </c>
      <c r="C311" s="80" t="s">
        <v>661</v>
      </c>
      <c r="F311" s="80" t="s">
        <v>655</v>
      </c>
      <c r="G311" s="80" t="s">
        <v>456</v>
      </c>
      <c r="H311" s="80">
        <v>0</v>
      </c>
      <c r="I311" s="80" t="s">
        <v>456</v>
      </c>
      <c r="J311" s="79">
        <v>12</v>
      </c>
      <c r="K311" s="79">
        <v>0</v>
      </c>
      <c r="L311" s="79">
        <v>0</v>
      </c>
      <c r="M311" s="79" t="s">
        <v>579</v>
      </c>
      <c r="N311" s="79" t="s">
        <v>452</v>
      </c>
      <c r="P311" s="79" t="s">
        <v>453</v>
      </c>
      <c r="Q311" s="79" t="s">
        <v>453</v>
      </c>
    </row>
    <row r="312" spans="1:17" ht="26.4">
      <c r="A312" s="172">
        <f t="shared" si="5"/>
        <v>309</v>
      </c>
      <c r="B312" s="80" t="s">
        <v>891</v>
      </c>
      <c r="C312" s="80" t="s">
        <v>661</v>
      </c>
      <c r="F312" s="80" t="s">
        <v>655</v>
      </c>
      <c r="G312" s="80" t="s">
        <v>456</v>
      </c>
      <c r="H312" s="80">
        <v>0</v>
      </c>
      <c r="I312" s="80" t="s">
        <v>456</v>
      </c>
      <c r="J312" s="79">
        <v>12</v>
      </c>
      <c r="K312" s="79">
        <v>0</v>
      </c>
      <c r="L312" s="79">
        <v>0</v>
      </c>
      <c r="M312" s="79" t="s">
        <v>579</v>
      </c>
      <c r="N312" s="79" t="s">
        <v>452</v>
      </c>
      <c r="P312" s="79" t="s">
        <v>453</v>
      </c>
      <c r="Q312" s="79" t="s">
        <v>453</v>
      </c>
    </row>
    <row r="313" spans="1:17" ht="26.4">
      <c r="A313" s="172">
        <f t="shared" si="5"/>
        <v>310</v>
      </c>
      <c r="B313" s="80" t="s">
        <v>892</v>
      </c>
      <c r="C313" s="80" t="s">
        <v>661</v>
      </c>
      <c r="F313" s="80" t="s">
        <v>655</v>
      </c>
      <c r="G313" s="80" t="s">
        <v>456</v>
      </c>
      <c r="H313" s="80">
        <v>0</v>
      </c>
      <c r="I313" s="80" t="s">
        <v>456</v>
      </c>
      <c r="J313" s="79">
        <v>12</v>
      </c>
      <c r="K313" s="79">
        <v>0</v>
      </c>
      <c r="L313" s="79">
        <v>0</v>
      </c>
      <c r="M313" s="79" t="s">
        <v>579</v>
      </c>
      <c r="N313" s="79" t="s">
        <v>452</v>
      </c>
      <c r="P313" s="79" t="s">
        <v>453</v>
      </c>
      <c r="Q313" s="79" t="s">
        <v>453</v>
      </c>
    </row>
    <row r="314" spans="1:17">
      <c r="A314" s="172">
        <f t="shared" si="5"/>
        <v>311</v>
      </c>
      <c r="B314" s="80" t="s">
        <v>893</v>
      </c>
      <c r="C314" s="80" t="s">
        <v>661</v>
      </c>
      <c r="F314" s="80" t="s">
        <v>655</v>
      </c>
      <c r="G314" s="80" t="s">
        <v>456</v>
      </c>
      <c r="H314" s="80">
        <v>0</v>
      </c>
      <c r="I314" s="80" t="s">
        <v>456</v>
      </c>
      <c r="J314" s="79">
        <v>4</v>
      </c>
      <c r="K314" s="79">
        <v>0</v>
      </c>
      <c r="L314" s="79">
        <v>0</v>
      </c>
      <c r="M314" s="79" t="s">
        <v>579</v>
      </c>
      <c r="N314" s="79" t="s">
        <v>452</v>
      </c>
      <c r="P314" s="79" t="s">
        <v>453</v>
      </c>
      <c r="Q314" s="79" t="s">
        <v>453</v>
      </c>
    </row>
    <row r="315" spans="1:17">
      <c r="A315" s="172">
        <f t="shared" si="5"/>
        <v>312</v>
      </c>
      <c r="B315" s="80" t="s">
        <v>894</v>
      </c>
      <c r="C315" s="80" t="s">
        <v>661</v>
      </c>
      <c r="F315" s="80" t="s">
        <v>655</v>
      </c>
      <c r="G315" s="80" t="s">
        <v>456</v>
      </c>
      <c r="H315" s="80">
        <v>0</v>
      </c>
      <c r="I315" s="80" t="s">
        <v>456</v>
      </c>
      <c r="J315" s="79">
        <v>4</v>
      </c>
      <c r="K315" s="79">
        <v>0</v>
      </c>
      <c r="L315" s="79">
        <v>0</v>
      </c>
      <c r="M315" s="79" t="s">
        <v>579</v>
      </c>
      <c r="N315" s="79" t="s">
        <v>452</v>
      </c>
      <c r="P315" s="79" t="s">
        <v>453</v>
      </c>
      <c r="Q315" s="79" t="s">
        <v>453</v>
      </c>
    </row>
    <row r="316" spans="1:17">
      <c r="A316" s="172">
        <f t="shared" si="5"/>
        <v>313</v>
      </c>
      <c r="B316" s="80" t="s">
        <v>895</v>
      </c>
      <c r="C316" s="80" t="s">
        <v>661</v>
      </c>
      <c r="F316" s="80" t="s">
        <v>655</v>
      </c>
      <c r="G316" s="80" t="s">
        <v>456</v>
      </c>
      <c r="H316" s="80">
        <v>0</v>
      </c>
      <c r="I316" s="80" t="s">
        <v>456</v>
      </c>
      <c r="J316" s="79">
        <v>4</v>
      </c>
      <c r="K316" s="79">
        <v>0</v>
      </c>
      <c r="L316" s="79">
        <v>0</v>
      </c>
      <c r="M316" s="79" t="s">
        <v>579</v>
      </c>
      <c r="N316" s="79" t="s">
        <v>452</v>
      </c>
      <c r="P316" s="79" t="s">
        <v>453</v>
      </c>
      <c r="Q316" s="79" t="s">
        <v>453</v>
      </c>
    </row>
    <row r="317" spans="1:17">
      <c r="A317" s="172">
        <f t="shared" si="5"/>
        <v>314</v>
      </c>
      <c r="B317" s="80" t="s">
        <v>896</v>
      </c>
      <c r="C317" s="80" t="s">
        <v>661</v>
      </c>
      <c r="F317" s="80" t="s">
        <v>655</v>
      </c>
      <c r="G317" s="80" t="s">
        <v>456</v>
      </c>
      <c r="H317" s="80">
        <v>0</v>
      </c>
      <c r="I317" s="80" t="s">
        <v>456</v>
      </c>
      <c r="J317" s="79">
        <v>4</v>
      </c>
      <c r="K317" s="79">
        <v>0</v>
      </c>
      <c r="L317" s="79">
        <v>0</v>
      </c>
      <c r="M317" s="79" t="s">
        <v>579</v>
      </c>
      <c r="N317" s="79" t="s">
        <v>452</v>
      </c>
      <c r="P317" s="79" t="s">
        <v>453</v>
      </c>
      <c r="Q317" s="79" t="s">
        <v>453</v>
      </c>
    </row>
    <row r="318" spans="1:17" ht="26.4">
      <c r="A318" s="172">
        <f t="shared" si="5"/>
        <v>315</v>
      </c>
      <c r="B318" s="80" t="s">
        <v>897</v>
      </c>
      <c r="C318" s="80" t="s">
        <v>661</v>
      </c>
      <c r="F318" s="80" t="s">
        <v>655</v>
      </c>
      <c r="G318" s="80" t="s">
        <v>456</v>
      </c>
      <c r="H318" s="80">
        <v>0</v>
      </c>
      <c r="I318" s="80" t="s">
        <v>456</v>
      </c>
      <c r="J318" s="79">
        <v>4</v>
      </c>
      <c r="K318" s="79">
        <v>0</v>
      </c>
      <c r="L318" s="79">
        <v>0</v>
      </c>
      <c r="M318" s="79" t="s">
        <v>579</v>
      </c>
      <c r="N318" s="79" t="s">
        <v>452</v>
      </c>
      <c r="P318" s="79" t="s">
        <v>453</v>
      </c>
      <c r="Q318" s="79" t="s">
        <v>453</v>
      </c>
    </row>
    <row r="319" spans="1:17" ht="26.4">
      <c r="A319" s="172">
        <f t="shared" si="5"/>
        <v>316</v>
      </c>
      <c r="B319" s="80" t="s">
        <v>898</v>
      </c>
      <c r="C319" s="80" t="s">
        <v>661</v>
      </c>
      <c r="F319" s="80" t="s">
        <v>655</v>
      </c>
      <c r="G319" s="80" t="s">
        <v>456</v>
      </c>
      <c r="H319" s="80">
        <v>0</v>
      </c>
      <c r="I319" s="80" t="s">
        <v>456</v>
      </c>
      <c r="J319" s="79">
        <v>4</v>
      </c>
      <c r="K319" s="79">
        <v>0</v>
      </c>
      <c r="L319" s="79">
        <v>0</v>
      </c>
      <c r="M319" s="79" t="s">
        <v>579</v>
      </c>
      <c r="N319" s="79" t="s">
        <v>452</v>
      </c>
      <c r="P319" s="79" t="s">
        <v>453</v>
      </c>
      <c r="Q319" s="79" t="s">
        <v>453</v>
      </c>
    </row>
    <row r="320" spans="1:17" ht="26.4">
      <c r="A320" s="172">
        <f t="shared" si="5"/>
        <v>317</v>
      </c>
      <c r="B320" s="80" t="s">
        <v>899</v>
      </c>
      <c r="C320" s="80" t="s">
        <v>661</v>
      </c>
      <c r="F320" s="80" t="s">
        <v>655</v>
      </c>
      <c r="G320" s="80" t="s">
        <v>456</v>
      </c>
      <c r="H320" s="80">
        <v>0</v>
      </c>
      <c r="I320" s="80" t="s">
        <v>456</v>
      </c>
      <c r="J320" s="79">
        <v>4</v>
      </c>
      <c r="K320" s="79">
        <v>0</v>
      </c>
      <c r="L320" s="79">
        <v>0</v>
      </c>
      <c r="M320" s="79" t="s">
        <v>579</v>
      </c>
      <c r="N320" s="79" t="s">
        <v>452</v>
      </c>
      <c r="P320" s="79" t="s">
        <v>453</v>
      </c>
      <c r="Q320" s="79" t="s">
        <v>453</v>
      </c>
    </row>
    <row r="321" spans="1:17">
      <c r="A321" s="172">
        <f t="shared" si="5"/>
        <v>318</v>
      </c>
      <c r="B321" s="80" t="s">
        <v>900</v>
      </c>
      <c r="C321" s="80" t="s">
        <v>661</v>
      </c>
      <c r="F321" s="80" t="s">
        <v>655</v>
      </c>
      <c r="G321" s="80" t="s">
        <v>456</v>
      </c>
      <c r="H321" s="80">
        <v>0</v>
      </c>
      <c r="I321" s="80" t="s">
        <v>456</v>
      </c>
      <c r="J321" s="79">
        <v>4</v>
      </c>
      <c r="K321" s="79">
        <v>0</v>
      </c>
      <c r="L321" s="79">
        <v>0</v>
      </c>
      <c r="M321" s="79" t="s">
        <v>579</v>
      </c>
      <c r="N321" s="79" t="s">
        <v>452</v>
      </c>
      <c r="P321" s="79" t="s">
        <v>453</v>
      </c>
      <c r="Q321" s="79" t="s">
        <v>453</v>
      </c>
    </row>
    <row r="322" spans="1:17" ht="26.4">
      <c r="A322" s="172">
        <f t="shared" si="5"/>
        <v>319</v>
      </c>
      <c r="B322" s="80" t="s">
        <v>901</v>
      </c>
      <c r="C322" s="80" t="s">
        <v>661</v>
      </c>
      <c r="F322" s="80" t="s">
        <v>655</v>
      </c>
      <c r="G322" s="80" t="s">
        <v>456</v>
      </c>
      <c r="H322" s="80">
        <v>0</v>
      </c>
      <c r="I322" s="80" t="s">
        <v>456</v>
      </c>
      <c r="J322" s="79">
        <v>4</v>
      </c>
      <c r="K322" s="79">
        <v>0</v>
      </c>
      <c r="L322" s="79">
        <v>0</v>
      </c>
      <c r="M322" s="79" t="s">
        <v>579</v>
      </c>
      <c r="N322" s="79" t="s">
        <v>452</v>
      </c>
      <c r="P322" s="79" t="s">
        <v>453</v>
      </c>
      <c r="Q322" s="79" t="s">
        <v>453</v>
      </c>
    </row>
    <row r="323" spans="1:17" ht="26.4">
      <c r="A323" s="172">
        <f t="shared" si="5"/>
        <v>320</v>
      </c>
      <c r="B323" s="80" t="s">
        <v>902</v>
      </c>
      <c r="C323" s="80" t="s">
        <v>661</v>
      </c>
      <c r="F323" s="80" t="s">
        <v>655</v>
      </c>
      <c r="G323" s="80" t="s">
        <v>456</v>
      </c>
      <c r="H323" s="80">
        <v>0</v>
      </c>
      <c r="I323" s="80" t="s">
        <v>456</v>
      </c>
      <c r="J323" s="79">
        <v>4</v>
      </c>
      <c r="K323" s="79">
        <v>0</v>
      </c>
      <c r="L323" s="79">
        <v>0</v>
      </c>
      <c r="M323" s="79" t="s">
        <v>579</v>
      </c>
      <c r="N323" s="79" t="s">
        <v>452</v>
      </c>
      <c r="P323" s="79" t="s">
        <v>453</v>
      </c>
      <c r="Q323" s="79" t="s">
        <v>453</v>
      </c>
    </row>
    <row r="324" spans="1:17" ht="26.4">
      <c r="A324" s="172">
        <f t="shared" si="5"/>
        <v>321</v>
      </c>
      <c r="B324" s="80" t="s">
        <v>903</v>
      </c>
      <c r="C324" s="80" t="s">
        <v>661</v>
      </c>
      <c r="F324" s="80" t="s">
        <v>655</v>
      </c>
      <c r="G324" s="80" t="s">
        <v>456</v>
      </c>
      <c r="H324" s="80">
        <v>0</v>
      </c>
      <c r="I324" s="80" t="s">
        <v>456</v>
      </c>
      <c r="J324" s="79">
        <v>4</v>
      </c>
      <c r="K324" s="79">
        <v>0</v>
      </c>
      <c r="L324" s="79">
        <v>0</v>
      </c>
      <c r="M324" s="79" t="s">
        <v>579</v>
      </c>
      <c r="N324" s="79" t="s">
        <v>452</v>
      </c>
      <c r="P324" s="79" t="s">
        <v>453</v>
      </c>
      <c r="Q324" s="79" t="s">
        <v>453</v>
      </c>
    </row>
    <row r="325" spans="1:17" ht="26.4">
      <c r="A325" s="172">
        <f t="shared" si="5"/>
        <v>322</v>
      </c>
      <c r="B325" s="80" t="s">
        <v>904</v>
      </c>
      <c r="C325" s="80" t="s">
        <v>661</v>
      </c>
      <c r="F325" s="80" t="s">
        <v>655</v>
      </c>
      <c r="G325" s="80" t="s">
        <v>456</v>
      </c>
      <c r="H325" s="80">
        <v>0</v>
      </c>
      <c r="I325" s="80" t="s">
        <v>456</v>
      </c>
      <c r="J325" s="79">
        <v>4</v>
      </c>
      <c r="K325" s="79">
        <v>0</v>
      </c>
      <c r="L325" s="79">
        <v>0</v>
      </c>
      <c r="M325" s="79" t="s">
        <v>579</v>
      </c>
      <c r="N325" s="79" t="s">
        <v>452</v>
      </c>
      <c r="P325" s="79" t="s">
        <v>453</v>
      </c>
      <c r="Q325" s="79" t="s">
        <v>453</v>
      </c>
    </row>
    <row r="326" spans="1:17">
      <c r="A326" s="172">
        <f t="shared" si="5"/>
        <v>323</v>
      </c>
      <c r="B326" s="80" t="s">
        <v>905</v>
      </c>
      <c r="C326" s="80" t="s">
        <v>661</v>
      </c>
      <c r="F326" s="80" t="s">
        <v>655</v>
      </c>
      <c r="G326" s="80" t="s">
        <v>456</v>
      </c>
      <c r="H326" s="80">
        <v>0</v>
      </c>
      <c r="I326" s="80" t="s">
        <v>456</v>
      </c>
      <c r="J326" s="79">
        <v>4</v>
      </c>
      <c r="K326" s="79">
        <v>0</v>
      </c>
      <c r="L326" s="79">
        <v>0</v>
      </c>
      <c r="M326" s="79" t="s">
        <v>579</v>
      </c>
      <c r="N326" s="79" t="s">
        <v>452</v>
      </c>
      <c r="P326" s="79" t="s">
        <v>453</v>
      </c>
      <c r="Q326" s="79" t="s">
        <v>453</v>
      </c>
    </row>
    <row r="327" spans="1:17">
      <c r="A327" s="172">
        <f t="shared" si="5"/>
        <v>324</v>
      </c>
      <c r="B327" s="80" t="s">
        <v>906</v>
      </c>
      <c r="C327" s="80" t="s">
        <v>661</v>
      </c>
      <c r="F327" s="80" t="s">
        <v>655</v>
      </c>
      <c r="G327" s="80" t="s">
        <v>456</v>
      </c>
      <c r="H327" s="80">
        <v>0</v>
      </c>
      <c r="I327" s="80" t="s">
        <v>456</v>
      </c>
      <c r="J327" s="79">
        <v>4</v>
      </c>
      <c r="K327" s="79">
        <v>0</v>
      </c>
      <c r="L327" s="79">
        <v>0</v>
      </c>
      <c r="M327" s="79" t="s">
        <v>579</v>
      </c>
      <c r="N327" s="79" t="s">
        <v>452</v>
      </c>
      <c r="P327" s="79" t="s">
        <v>453</v>
      </c>
      <c r="Q327" s="79" t="s">
        <v>453</v>
      </c>
    </row>
    <row r="328" spans="1:17">
      <c r="A328" s="172">
        <f t="shared" si="5"/>
        <v>325</v>
      </c>
      <c r="B328" s="80" t="s">
        <v>907</v>
      </c>
      <c r="C328" s="80" t="s">
        <v>661</v>
      </c>
      <c r="D328" s="80" t="s">
        <v>907</v>
      </c>
      <c r="E328" s="80" t="s">
        <v>908</v>
      </c>
      <c r="F328" s="80" t="s">
        <v>655</v>
      </c>
      <c r="G328" s="80" t="s">
        <v>456</v>
      </c>
      <c r="H328" s="80">
        <v>0</v>
      </c>
      <c r="I328" s="80" t="s">
        <v>456</v>
      </c>
      <c r="J328" s="79">
        <v>4</v>
      </c>
      <c r="K328" s="79">
        <v>0</v>
      </c>
      <c r="L328" s="79">
        <v>0</v>
      </c>
      <c r="M328" s="79" t="s">
        <v>579</v>
      </c>
      <c r="N328" s="79" t="s">
        <v>452</v>
      </c>
      <c r="P328" s="79" t="s">
        <v>453</v>
      </c>
      <c r="Q328" s="79" t="s">
        <v>453</v>
      </c>
    </row>
    <row r="329" spans="1:17">
      <c r="A329" s="172">
        <f t="shared" si="5"/>
        <v>326</v>
      </c>
      <c r="B329" s="80" t="s">
        <v>909</v>
      </c>
      <c r="C329" s="80" t="s">
        <v>661</v>
      </c>
      <c r="F329" s="80" t="s">
        <v>655</v>
      </c>
      <c r="G329" s="80" t="s">
        <v>456</v>
      </c>
      <c r="H329" s="80">
        <v>0</v>
      </c>
      <c r="I329" s="80" t="s">
        <v>456</v>
      </c>
      <c r="J329" s="79">
        <v>4</v>
      </c>
      <c r="K329" s="79">
        <v>0</v>
      </c>
      <c r="L329" s="79">
        <v>0</v>
      </c>
      <c r="M329" s="79" t="s">
        <v>579</v>
      </c>
      <c r="N329" s="79" t="s">
        <v>452</v>
      </c>
      <c r="P329" s="79" t="s">
        <v>453</v>
      </c>
      <c r="Q329" s="79" t="s">
        <v>453</v>
      </c>
    </row>
    <row r="330" spans="1:17">
      <c r="A330" s="172">
        <f t="shared" si="5"/>
        <v>327</v>
      </c>
      <c r="B330" s="80" t="s">
        <v>910</v>
      </c>
      <c r="C330" s="80" t="s">
        <v>661</v>
      </c>
      <c r="F330" s="80" t="s">
        <v>655</v>
      </c>
      <c r="G330" s="80" t="s">
        <v>456</v>
      </c>
      <c r="H330" s="80">
        <v>0</v>
      </c>
      <c r="I330" s="80" t="s">
        <v>456</v>
      </c>
      <c r="J330" s="79">
        <v>4</v>
      </c>
      <c r="K330" s="79">
        <v>0</v>
      </c>
      <c r="L330" s="79">
        <v>0</v>
      </c>
      <c r="M330" s="79" t="s">
        <v>579</v>
      </c>
      <c r="N330" s="79" t="s">
        <v>452</v>
      </c>
      <c r="P330" s="79" t="s">
        <v>453</v>
      </c>
      <c r="Q330" s="79" t="s">
        <v>453</v>
      </c>
    </row>
    <row r="331" spans="1:17">
      <c r="A331" s="172">
        <f t="shared" si="5"/>
        <v>328</v>
      </c>
      <c r="B331" s="80" t="s">
        <v>911</v>
      </c>
      <c r="C331" s="80" t="s">
        <v>661</v>
      </c>
      <c r="F331" s="80" t="s">
        <v>655</v>
      </c>
      <c r="G331" s="80" t="s">
        <v>456</v>
      </c>
      <c r="H331" s="80">
        <v>0</v>
      </c>
      <c r="I331" s="80" t="s">
        <v>456</v>
      </c>
      <c r="J331" s="79">
        <v>4</v>
      </c>
      <c r="K331" s="79">
        <v>0</v>
      </c>
      <c r="L331" s="79">
        <v>0</v>
      </c>
      <c r="M331" s="79" t="s">
        <v>579</v>
      </c>
      <c r="N331" s="79" t="s">
        <v>452</v>
      </c>
      <c r="P331" s="79" t="s">
        <v>453</v>
      </c>
      <c r="Q331" s="79" t="s">
        <v>453</v>
      </c>
    </row>
    <row r="332" spans="1:17">
      <c r="A332" s="172">
        <f t="shared" si="5"/>
        <v>329</v>
      </c>
      <c r="B332" s="80" t="s">
        <v>912</v>
      </c>
      <c r="C332" s="80" t="s">
        <v>661</v>
      </c>
      <c r="F332" s="80" t="s">
        <v>655</v>
      </c>
      <c r="G332" s="80" t="s">
        <v>456</v>
      </c>
      <c r="H332" s="80">
        <v>0</v>
      </c>
      <c r="I332" s="80" t="s">
        <v>456</v>
      </c>
      <c r="J332" s="79">
        <v>4</v>
      </c>
      <c r="K332" s="79">
        <v>0</v>
      </c>
      <c r="L332" s="79">
        <v>0</v>
      </c>
      <c r="M332" s="79" t="s">
        <v>579</v>
      </c>
      <c r="N332" s="79" t="s">
        <v>452</v>
      </c>
      <c r="P332" s="79" t="s">
        <v>453</v>
      </c>
      <c r="Q332" s="79" t="s">
        <v>453</v>
      </c>
    </row>
    <row r="333" spans="1:17">
      <c r="A333" s="172">
        <f t="shared" si="5"/>
        <v>330</v>
      </c>
      <c r="B333" s="80" t="s">
        <v>913</v>
      </c>
      <c r="C333" s="80" t="s">
        <v>661</v>
      </c>
      <c r="F333" s="80" t="s">
        <v>655</v>
      </c>
      <c r="G333" s="80" t="s">
        <v>456</v>
      </c>
      <c r="H333" s="80">
        <v>0</v>
      </c>
      <c r="I333" s="80" t="s">
        <v>456</v>
      </c>
      <c r="J333" s="79">
        <v>12</v>
      </c>
      <c r="K333" s="79">
        <v>0</v>
      </c>
      <c r="L333" s="79">
        <v>0</v>
      </c>
      <c r="M333" s="79" t="s">
        <v>579</v>
      </c>
      <c r="N333" s="79" t="s">
        <v>452</v>
      </c>
      <c r="P333" s="79" t="s">
        <v>453</v>
      </c>
      <c r="Q333" s="79" t="s">
        <v>453</v>
      </c>
    </row>
    <row r="334" spans="1:17">
      <c r="A334" s="172">
        <f t="shared" si="5"/>
        <v>331</v>
      </c>
      <c r="B334" s="80" t="s">
        <v>914</v>
      </c>
      <c r="C334" s="80" t="s">
        <v>661</v>
      </c>
      <c r="F334" s="80" t="s">
        <v>655</v>
      </c>
      <c r="G334" s="80" t="s">
        <v>456</v>
      </c>
      <c r="H334" s="80">
        <v>0</v>
      </c>
      <c r="I334" s="80" t="s">
        <v>456</v>
      </c>
      <c r="J334" s="79">
        <v>12</v>
      </c>
      <c r="K334" s="79">
        <v>0</v>
      </c>
      <c r="L334" s="79">
        <v>0</v>
      </c>
      <c r="M334" s="79" t="s">
        <v>579</v>
      </c>
      <c r="N334" s="79" t="s">
        <v>452</v>
      </c>
      <c r="P334" s="79" t="s">
        <v>453</v>
      </c>
      <c r="Q334" s="79" t="s">
        <v>453</v>
      </c>
    </row>
    <row r="335" spans="1:17" ht="39.6">
      <c r="A335" s="172">
        <f t="shared" si="5"/>
        <v>332</v>
      </c>
      <c r="B335" s="80" t="s">
        <v>915</v>
      </c>
      <c r="C335" s="80" t="s">
        <v>661</v>
      </c>
      <c r="F335" s="80" t="s">
        <v>655</v>
      </c>
      <c r="G335" s="80" t="s">
        <v>456</v>
      </c>
      <c r="H335" s="80">
        <v>0</v>
      </c>
      <c r="I335" s="80" t="s">
        <v>456</v>
      </c>
      <c r="J335" s="79">
        <v>12</v>
      </c>
      <c r="K335" s="79">
        <v>0</v>
      </c>
      <c r="L335" s="79">
        <v>0</v>
      </c>
      <c r="M335" s="79" t="s">
        <v>579</v>
      </c>
      <c r="N335" s="79" t="s">
        <v>452</v>
      </c>
      <c r="P335" s="79" t="s">
        <v>453</v>
      </c>
      <c r="Q335" s="79" t="s">
        <v>453</v>
      </c>
    </row>
    <row r="336" spans="1:17" ht="39.6">
      <c r="A336" s="172">
        <f t="shared" si="5"/>
        <v>333</v>
      </c>
      <c r="B336" s="80" t="s">
        <v>916</v>
      </c>
      <c r="C336" s="80" t="s">
        <v>661</v>
      </c>
      <c r="F336" s="80" t="s">
        <v>655</v>
      </c>
      <c r="G336" s="80" t="s">
        <v>456</v>
      </c>
      <c r="H336" s="80">
        <v>0</v>
      </c>
      <c r="I336" s="80" t="s">
        <v>456</v>
      </c>
      <c r="J336" s="79">
        <v>12</v>
      </c>
      <c r="K336" s="79">
        <v>0</v>
      </c>
      <c r="L336" s="79">
        <v>0</v>
      </c>
      <c r="M336" s="79" t="s">
        <v>579</v>
      </c>
      <c r="N336" s="79" t="s">
        <v>452</v>
      </c>
      <c r="P336" s="79" t="s">
        <v>453</v>
      </c>
      <c r="Q336" s="79" t="s">
        <v>453</v>
      </c>
    </row>
    <row r="337" spans="1:17" ht="39.6">
      <c r="A337" s="172">
        <f t="shared" si="5"/>
        <v>334</v>
      </c>
      <c r="B337" s="80" t="s">
        <v>917</v>
      </c>
      <c r="C337" s="80" t="s">
        <v>661</v>
      </c>
      <c r="F337" s="80" t="s">
        <v>655</v>
      </c>
      <c r="G337" s="80" t="s">
        <v>456</v>
      </c>
      <c r="H337" s="80">
        <v>0</v>
      </c>
      <c r="I337" s="80" t="s">
        <v>456</v>
      </c>
      <c r="J337" s="79">
        <v>12</v>
      </c>
      <c r="K337" s="79">
        <v>0</v>
      </c>
      <c r="L337" s="79">
        <v>0</v>
      </c>
      <c r="M337" s="79" t="s">
        <v>579</v>
      </c>
      <c r="N337" s="79" t="s">
        <v>452</v>
      </c>
      <c r="P337" s="79" t="s">
        <v>453</v>
      </c>
      <c r="Q337" s="79" t="s">
        <v>453</v>
      </c>
    </row>
    <row r="338" spans="1:17" ht="39.6">
      <c r="A338" s="172">
        <f t="shared" si="5"/>
        <v>335</v>
      </c>
      <c r="B338" s="80" t="s">
        <v>918</v>
      </c>
      <c r="C338" s="80" t="s">
        <v>661</v>
      </c>
      <c r="F338" s="80" t="s">
        <v>655</v>
      </c>
      <c r="G338" s="80" t="s">
        <v>456</v>
      </c>
      <c r="H338" s="80">
        <v>0</v>
      </c>
      <c r="I338" s="80" t="s">
        <v>456</v>
      </c>
      <c r="J338" s="79">
        <v>12</v>
      </c>
      <c r="K338" s="79">
        <v>0</v>
      </c>
      <c r="L338" s="79">
        <v>0</v>
      </c>
      <c r="M338" s="79" t="s">
        <v>579</v>
      </c>
      <c r="N338" s="79" t="s">
        <v>452</v>
      </c>
      <c r="P338" s="79" t="s">
        <v>453</v>
      </c>
      <c r="Q338" s="79" t="s">
        <v>453</v>
      </c>
    </row>
    <row r="339" spans="1:17" ht="39.6">
      <c r="A339" s="172">
        <f t="shared" si="5"/>
        <v>336</v>
      </c>
      <c r="B339" s="80" t="s">
        <v>919</v>
      </c>
      <c r="C339" s="80" t="s">
        <v>661</v>
      </c>
      <c r="F339" s="80" t="s">
        <v>655</v>
      </c>
      <c r="G339" s="80" t="s">
        <v>456</v>
      </c>
      <c r="H339" s="80">
        <v>0</v>
      </c>
      <c r="I339" s="80" t="s">
        <v>456</v>
      </c>
      <c r="J339" s="79">
        <v>12</v>
      </c>
      <c r="K339" s="79">
        <v>0</v>
      </c>
      <c r="L339" s="79">
        <v>0</v>
      </c>
      <c r="M339" s="79" t="s">
        <v>579</v>
      </c>
      <c r="N339" s="79" t="s">
        <v>452</v>
      </c>
      <c r="P339" s="79" t="s">
        <v>453</v>
      </c>
      <c r="Q339" s="79" t="s">
        <v>453</v>
      </c>
    </row>
    <row r="340" spans="1:17" ht="39.6">
      <c r="A340" s="172">
        <f t="shared" si="5"/>
        <v>337</v>
      </c>
      <c r="B340" s="80" t="s">
        <v>920</v>
      </c>
      <c r="C340" s="80" t="s">
        <v>661</v>
      </c>
      <c r="F340" s="80" t="s">
        <v>655</v>
      </c>
      <c r="G340" s="80" t="s">
        <v>456</v>
      </c>
      <c r="H340" s="80">
        <v>0</v>
      </c>
      <c r="I340" s="80" t="s">
        <v>456</v>
      </c>
      <c r="J340" s="79">
        <v>12</v>
      </c>
      <c r="K340" s="79">
        <v>0</v>
      </c>
      <c r="L340" s="79">
        <v>0</v>
      </c>
      <c r="M340" s="79" t="s">
        <v>579</v>
      </c>
      <c r="N340" s="79" t="s">
        <v>452</v>
      </c>
      <c r="P340" s="79" t="s">
        <v>453</v>
      </c>
      <c r="Q340" s="79" t="s">
        <v>453</v>
      </c>
    </row>
    <row r="341" spans="1:17" ht="26.4">
      <c r="A341" s="172">
        <f t="shared" si="5"/>
        <v>338</v>
      </c>
      <c r="B341" s="80" t="s">
        <v>921</v>
      </c>
      <c r="C341" s="80" t="s">
        <v>661</v>
      </c>
      <c r="F341" s="80" t="s">
        <v>655</v>
      </c>
      <c r="G341" s="80" t="s">
        <v>456</v>
      </c>
      <c r="H341" s="80">
        <v>0</v>
      </c>
      <c r="I341" s="80" t="s">
        <v>456</v>
      </c>
      <c r="J341" s="79">
        <v>12</v>
      </c>
      <c r="K341" s="79">
        <v>0</v>
      </c>
      <c r="L341" s="79">
        <v>0</v>
      </c>
      <c r="M341" s="79" t="s">
        <v>579</v>
      </c>
      <c r="N341" s="79" t="s">
        <v>452</v>
      </c>
      <c r="P341" s="79" t="s">
        <v>453</v>
      </c>
      <c r="Q341" s="79" t="s">
        <v>453</v>
      </c>
    </row>
    <row r="342" spans="1:17" ht="26.4">
      <c r="A342" s="172">
        <f t="shared" ref="A342:A405" si="6">A341+1</f>
        <v>339</v>
      </c>
      <c r="B342" s="80" t="s">
        <v>922</v>
      </c>
      <c r="C342" s="80" t="s">
        <v>661</v>
      </c>
      <c r="F342" s="80" t="s">
        <v>655</v>
      </c>
      <c r="G342" s="80" t="s">
        <v>456</v>
      </c>
      <c r="H342" s="80">
        <v>0</v>
      </c>
      <c r="I342" s="80" t="s">
        <v>456</v>
      </c>
      <c r="J342" s="79">
        <v>12</v>
      </c>
      <c r="K342" s="79">
        <v>0</v>
      </c>
      <c r="L342" s="79">
        <v>0</v>
      </c>
      <c r="M342" s="79" t="s">
        <v>579</v>
      </c>
      <c r="N342" s="79" t="s">
        <v>452</v>
      </c>
      <c r="P342" s="79" t="s">
        <v>453</v>
      </c>
      <c r="Q342" s="79" t="s">
        <v>453</v>
      </c>
    </row>
    <row r="343" spans="1:17" ht="26.4">
      <c r="A343" s="172">
        <f t="shared" si="6"/>
        <v>340</v>
      </c>
      <c r="B343" s="80" t="s">
        <v>923</v>
      </c>
      <c r="C343" s="80" t="s">
        <v>661</v>
      </c>
      <c r="F343" s="80" t="s">
        <v>655</v>
      </c>
      <c r="G343" s="80" t="s">
        <v>456</v>
      </c>
      <c r="H343" s="80">
        <v>0</v>
      </c>
      <c r="I343" s="80" t="s">
        <v>456</v>
      </c>
      <c r="J343" s="79">
        <v>12</v>
      </c>
      <c r="K343" s="79">
        <v>0</v>
      </c>
      <c r="L343" s="79">
        <v>0</v>
      </c>
      <c r="M343" s="79" t="s">
        <v>579</v>
      </c>
      <c r="N343" s="79" t="s">
        <v>452</v>
      </c>
      <c r="P343" s="79" t="s">
        <v>453</v>
      </c>
      <c r="Q343" s="79" t="s">
        <v>453</v>
      </c>
    </row>
    <row r="344" spans="1:17" ht="26.4">
      <c r="A344" s="172">
        <f t="shared" si="6"/>
        <v>341</v>
      </c>
      <c r="B344" s="80" t="s">
        <v>924</v>
      </c>
      <c r="C344" s="80" t="s">
        <v>661</v>
      </c>
      <c r="F344" s="80" t="s">
        <v>655</v>
      </c>
      <c r="G344" s="80" t="s">
        <v>456</v>
      </c>
      <c r="H344" s="80">
        <v>0</v>
      </c>
      <c r="I344" s="80" t="s">
        <v>456</v>
      </c>
      <c r="J344" s="79">
        <v>12</v>
      </c>
      <c r="K344" s="79">
        <v>0</v>
      </c>
      <c r="L344" s="79">
        <v>0</v>
      </c>
      <c r="M344" s="79" t="s">
        <v>579</v>
      </c>
      <c r="N344" s="79" t="s">
        <v>452</v>
      </c>
      <c r="P344" s="79" t="s">
        <v>453</v>
      </c>
      <c r="Q344" s="79" t="s">
        <v>453</v>
      </c>
    </row>
    <row r="345" spans="1:17" ht="26.4">
      <c r="A345" s="172">
        <f t="shared" si="6"/>
        <v>342</v>
      </c>
      <c r="B345" s="80" t="s">
        <v>925</v>
      </c>
      <c r="C345" s="80" t="s">
        <v>661</v>
      </c>
      <c r="F345" s="80" t="s">
        <v>655</v>
      </c>
      <c r="G345" s="80" t="s">
        <v>456</v>
      </c>
      <c r="H345" s="80">
        <v>0</v>
      </c>
      <c r="I345" s="80" t="s">
        <v>456</v>
      </c>
      <c r="J345" s="79">
        <v>12</v>
      </c>
      <c r="K345" s="79">
        <v>0</v>
      </c>
      <c r="L345" s="79">
        <v>0</v>
      </c>
      <c r="M345" s="79" t="s">
        <v>579</v>
      </c>
      <c r="N345" s="79" t="s">
        <v>452</v>
      </c>
      <c r="P345" s="79" t="s">
        <v>453</v>
      </c>
      <c r="Q345" s="79" t="s">
        <v>453</v>
      </c>
    </row>
    <row r="346" spans="1:17">
      <c r="A346" s="172">
        <f t="shared" si="6"/>
        <v>343</v>
      </c>
      <c r="B346" s="80" t="s">
        <v>926</v>
      </c>
      <c r="C346" s="80" t="s">
        <v>661</v>
      </c>
      <c r="F346" s="80" t="s">
        <v>655</v>
      </c>
      <c r="G346" s="80" t="s">
        <v>456</v>
      </c>
      <c r="H346" s="80">
        <v>0</v>
      </c>
      <c r="I346" s="80" t="s">
        <v>456</v>
      </c>
      <c r="J346" s="79">
        <v>12</v>
      </c>
      <c r="K346" s="79">
        <v>0</v>
      </c>
      <c r="L346" s="79">
        <v>0</v>
      </c>
      <c r="M346" s="79" t="s">
        <v>579</v>
      </c>
      <c r="N346" s="79" t="s">
        <v>452</v>
      </c>
      <c r="P346" s="79" t="s">
        <v>453</v>
      </c>
      <c r="Q346" s="79" t="s">
        <v>453</v>
      </c>
    </row>
    <row r="347" spans="1:17" ht="26.4">
      <c r="A347" s="172">
        <f t="shared" si="6"/>
        <v>344</v>
      </c>
      <c r="B347" s="80" t="s">
        <v>927</v>
      </c>
      <c r="C347" s="80" t="s">
        <v>661</v>
      </c>
      <c r="F347" s="80" t="s">
        <v>655</v>
      </c>
      <c r="G347" s="80" t="s">
        <v>456</v>
      </c>
      <c r="H347" s="80">
        <v>0</v>
      </c>
      <c r="I347" s="80" t="s">
        <v>456</v>
      </c>
      <c r="J347" s="79">
        <v>12</v>
      </c>
      <c r="K347" s="79">
        <v>0</v>
      </c>
      <c r="L347" s="79">
        <v>0</v>
      </c>
      <c r="M347" s="79" t="s">
        <v>579</v>
      </c>
      <c r="N347" s="79" t="s">
        <v>452</v>
      </c>
      <c r="P347" s="79" t="s">
        <v>453</v>
      </c>
      <c r="Q347" s="79" t="s">
        <v>453</v>
      </c>
    </row>
    <row r="348" spans="1:17">
      <c r="A348" s="172">
        <f t="shared" si="6"/>
        <v>345</v>
      </c>
      <c r="B348" s="80" t="s">
        <v>928</v>
      </c>
      <c r="C348" s="80" t="s">
        <v>661</v>
      </c>
      <c r="F348" s="80" t="s">
        <v>655</v>
      </c>
      <c r="G348" s="80" t="s">
        <v>456</v>
      </c>
      <c r="H348" s="80">
        <v>0</v>
      </c>
      <c r="I348" s="80" t="s">
        <v>456</v>
      </c>
      <c r="J348" s="79">
        <v>12</v>
      </c>
      <c r="K348" s="79">
        <v>0</v>
      </c>
      <c r="L348" s="79">
        <v>0</v>
      </c>
      <c r="M348" s="79" t="s">
        <v>579</v>
      </c>
      <c r="N348" s="79" t="s">
        <v>452</v>
      </c>
      <c r="P348" s="79" t="s">
        <v>453</v>
      </c>
      <c r="Q348" s="79" t="s">
        <v>453</v>
      </c>
    </row>
    <row r="349" spans="1:17">
      <c r="A349" s="172">
        <f t="shared" si="6"/>
        <v>346</v>
      </c>
      <c r="B349" s="80" t="s">
        <v>929</v>
      </c>
      <c r="C349" s="80" t="s">
        <v>661</v>
      </c>
      <c r="F349" s="80" t="s">
        <v>655</v>
      </c>
      <c r="G349" s="80" t="s">
        <v>456</v>
      </c>
      <c r="H349" s="80">
        <v>0</v>
      </c>
      <c r="I349" s="80" t="s">
        <v>456</v>
      </c>
      <c r="J349" s="79">
        <v>12</v>
      </c>
      <c r="K349" s="79">
        <v>0</v>
      </c>
      <c r="L349" s="79">
        <v>0</v>
      </c>
      <c r="M349" s="79" t="s">
        <v>579</v>
      </c>
      <c r="N349" s="79" t="s">
        <v>452</v>
      </c>
      <c r="P349" s="79" t="s">
        <v>453</v>
      </c>
      <c r="Q349" s="79" t="s">
        <v>453</v>
      </c>
    </row>
    <row r="350" spans="1:17" ht="26.4">
      <c r="A350" s="172">
        <f t="shared" si="6"/>
        <v>347</v>
      </c>
      <c r="B350" s="80" t="s">
        <v>930</v>
      </c>
      <c r="C350" s="80" t="s">
        <v>661</v>
      </c>
      <c r="F350" s="80" t="s">
        <v>655</v>
      </c>
      <c r="G350" s="80" t="s">
        <v>456</v>
      </c>
      <c r="H350" s="80">
        <v>0</v>
      </c>
      <c r="I350" s="80" t="s">
        <v>456</v>
      </c>
      <c r="J350" s="79">
        <v>12</v>
      </c>
      <c r="K350" s="79">
        <v>0</v>
      </c>
      <c r="L350" s="79">
        <v>0</v>
      </c>
      <c r="M350" s="79" t="s">
        <v>579</v>
      </c>
      <c r="N350" s="79" t="s">
        <v>452</v>
      </c>
      <c r="P350" s="79" t="s">
        <v>453</v>
      </c>
      <c r="Q350" s="79" t="s">
        <v>453</v>
      </c>
    </row>
    <row r="351" spans="1:17">
      <c r="A351" s="172">
        <f t="shared" si="6"/>
        <v>348</v>
      </c>
      <c r="B351" s="80" t="s">
        <v>931</v>
      </c>
      <c r="C351" s="80" t="s">
        <v>661</v>
      </c>
      <c r="F351" s="80" t="s">
        <v>655</v>
      </c>
      <c r="G351" s="80" t="s">
        <v>456</v>
      </c>
      <c r="H351" s="80">
        <v>0</v>
      </c>
      <c r="I351" s="80" t="s">
        <v>456</v>
      </c>
      <c r="J351" s="79">
        <v>12</v>
      </c>
      <c r="K351" s="79">
        <v>0</v>
      </c>
      <c r="L351" s="79">
        <v>0</v>
      </c>
      <c r="M351" s="79" t="s">
        <v>579</v>
      </c>
      <c r="N351" s="79" t="s">
        <v>452</v>
      </c>
      <c r="P351" s="79" t="s">
        <v>453</v>
      </c>
      <c r="Q351" s="79" t="s">
        <v>453</v>
      </c>
    </row>
    <row r="352" spans="1:17">
      <c r="A352" s="172">
        <f t="shared" si="6"/>
        <v>349</v>
      </c>
      <c r="B352" s="80" t="s">
        <v>932</v>
      </c>
      <c r="C352" s="80" t="s">
        <v>661</v>
      </c>
      <c r="F352" s="80" t="s">
        <v>655</v>
      </c>
      <c r="G352" s="80" t="s">
        <v>456</v>
      </c>
      <c r="H352" s="80">
        <v>0</v>
      </c>
      <c r="I352" s="80" t="s">
        <v>456</v>
      </c>
      <c r="J352" s="79">
        <v>12</v>
      </c>
      <c r="K352" s="79">
        <v>0</v>
      </c>
      <c r="L352" s="79">
        <v>0</v>
      </c>
      <c r="M352" s="79" t="s">
        <v>579</v>
      </c>
      <c r="N352" s="79" t="s">
        <v>452</v>
      </c>
      <c r="P352" s="79" t="s">
        <v>453</v>
      </c>
      <c r="Q352" s="79" t="s">
        <v>453</v>
      </c>
    </row>
    <row r="353" spans="1:17" ht="26.4">
      <c r="A353" s="172">
        <f t="shared" si="6"/>
        <v>350</v>
      </c>
      <c r="B353" s="80" t="s">
        <v>933</v>
      </c>
      <c r="C353" s="80" t="s">
        <v>661</v>
      </c>
      <c r="F353" s="80" t="s">
        <v>655</v>
      </c>
      <c r="G353" s="80" t="s">
        <v>456</v>
      </c>
      <c r="H353" s="80">
        <v>0</v>
      </c>
      <c r="I353" s="80" t="s">
        <v>456</v>
      </c>
      <c r="J353" s="79">
        <v>12</v>
      </c>
      <c r="K353" s="79">
        <v>0</v>
      </c>
      <c r="L353" s="79">
        <v>0</v>
      </c>
      <c r="M353" s="79" t="s">
        <v>579</v>
      </c>
      <c r="N353" s="79" t="s">
        <v>452</v>
      </c>
      <c r="P353" s="79" t="s">
        <v>453</v>
      </c>
      <c r="Q353" s="79" t="s">
        <v>453</v>
      </c>
    </row>
    <row r="354" spans="1:17">
      <c r="A354" s="172">
        <f t="shared" si="6"/>
        <v>351</v>
      </c>
      <c r="B354" s="80" t="s">
        <v>934</v>
      </c>
      <c r="C354" s="80" t="s">
        <v>661</v>
      </c>
      <c r="F354" s="80" t="s">
        <v>655</v>
      </c>
      <c r="G354" s="80" t="s">
        <v>456</v>
      </c>
      <c r="H354" s="80">
        <v>0</v>
      </c>
      <c r="I354" s="80" t="s">
        <v>456</v>
      </c>
      <c r="J354" s="79">
        <v>12</v>
      </c>
      <c r="K354" s="79">
        <v>0</v>
      </c>
      <c r="L354" s="79">
        <v>0</v>
      </c>
      <c r="M354" s="79" t="s">
        <v>579</v>
      </c>
      <c r="N354" s="79" t="s">
        <v>452</v>
      </c>
      <c r="P354" s="79" t="s">
        <v>453</v>
      </c>
      <c r="Q354" s="79" t="s">
        <v>453</v>
      </c>
    </row>
    <row r="355" spans="1:17">
      <c r="A355" s="172">
        <f t="shared" si="6"/>
        <v>352</v>
      </c>
      <c r="B355" s="80" t="s">
        <v>935</v>
      </c>
      <c r="C355" s="80" t="s">
        <v>661</v>
      </c>
      <c r="F355" s="80" t="s">
        <v>655</v>
      </c>
      <c r="G355" s="80" t="s">
        <v>456</v>
      </c>
      <c r="H355" s="80">
        <v>0</v>
      </c>
      <c r="I355" s="80" t="s">
        <v>456</v>
      </c>
      <c r="J355" s="79">
        <v>12</v>
      </c>
      <c r="K355" s="79">
        <v>0</v>
      </c>
      <c r="L355" s="79">
        <v>0</v>
      </c>
      <c r="M355" s="79" t="s">
        <v>579</v>
      </c>
      <c r="N355" s="79" t="s">
        <v>452</v>
      </c>
      <c r="P355" s="79" t="s">
        <v>453</v>
      </c>
      <c r="Q355" s="79" t="s">
        <v>453</v>
      </c>
    </row>
    <row r="356" spans="1:17" ht="26.4">
      <c r="A356" s="172">
        <f t="shared" si="6"/>
        <v>353</v>
      </c>
      <c r="B356" s="80" t="s">
        <v>936</v>
      </c>
      <c r="C356" s="80" t="s">
        <v>661</v>
      </c>
      <c r="F356" s="80" t="s">
        <v>655</v>
      </c>
      <c r="G356" s="80" t="s">
        <v>456</v>
      </c>
      <c r="H356" s="80">
        <v>0</v>
      </c>
      <c r="I356" s="80" t="s">
        <v>456</v>
      </c>
      <c r="J356" s="79">
        <v>12</v>
      </c>
      <c r="K356" s="79">
        <v>0</v>
      </c>
      <c r="L356" s="79">
        <v>0</v>
      </c>
      <c r="M356" s="79" t="s">
        <v>579</v>
      </c>
      <c r="N356" s="79" t="s">
        <v>452</v>
      </c>
      <c r="P356" s="79" t="s">
        <v>453</v>
      </c>
      <c r="Q356" s="79" t="s">
        <v>453</v>
      </c>
    </row>
    <row r="357" spans="1:17">
      <c r="A357" s="172">
        <f t="shared" si="6"/>
        <v>354</v>
      </c>
      <c r="B357" s="80" t="s">
        <v>937</v>
      </c>
      <c r="C357" s="80" t="s">
        <v>661</v>
      </c>
      <c r="F357" s="80" t="s">
        <v>655</v>
      </c>
      <c r="G357" s="80" t="s">
        <v>456</v>
      </c>
      <c r="H357" s="80">
        <v>0</v>
      </c>
      <c r="I357" s="80" t="s">
        <v>456</v>
      </c>
      <c r="J357" s="79">
        <v>12</v>
      </c>
      <c r="K357" s="79">
        <v>0</v>
      </c>
      <c r="L357" s="79">
        <v>0</v>
      </c>
      <c r="M357" s="79" t="s">
        <v>579</v>
      </c>
      <c r="N357" s="79" t="s">
        <v>452</v>
      </c>
      <c r="P357" s="79" t="s">
        <v>453</v>
      </c>
      <c r="Q357" s="79" t="s">
        <v>453</v>
      </c>
    </row>
    <row r="358" spans="1:17" ht="26.4">
      <c r="A358" s="172">
        <f t="shared" si="6"/>
        <v>355</v>
      </c>
      <c r="B358" s="80" t="s">
        <v>938</v>
      </c>
      <c r="C358" s="80" t="s">
        <v>661</v>
      </c>
      <c r="F358" s="80" t="s">
        <v>655</v>
      </c>
      <c r="G358" s="80" t="s">
        <v>456</v>
      </c>
      <c r="H358" s="80">
        <v>0</v>
      </c>
      <c r="I358" s="80" t="s">
        <v>456</v>
      </c>
      <c r="J358" s="79">
        <v>12</v>
      </c>
      <c r="K358" s="79">
        <v>0</v>
      </c>
      <c r="L358" s="79">
        <v>0</v>
      </c>
      <c r="M358" s="79" t="s">
        <v>579</v>
      </c>
      <c r="N358" s="79" t="s">
        <v>452</v>
      </c>
      <c r="P358" s="79" t="s">
        <v>453</v>
      </c>
      <c r="Q358" s="79" t="s">
        <v>453</v>
      </c>
    </row>
    <row r="359" spans="1:17" ht="26.4">
      <c r="A359" s="172">
        <f t="shared" si="6"/>
        <v>356</v>
      </c>
      <c r="B359" s="80" t="s">
        <v>939</v>
      </c>
      <c r="C359" s="80" t="s">
        <v>661</v>
      </c>
      <c r="F359" s="80" t="s">
        <v>655</v>
      </c>
      <c r="G359" s="80" t="s">
        <v>456</v>
      </c>
      <c r="H359" s="80">
        <v>0</v>
      </c>
      <c r="I359" s="80" t="s">
        <v>456</v>
      </c>
      <c r="J359" s="79">
        <v>4</v>
      </c>
      <c r="K359" s="79">
        <v>0</v>
      </c>
      <c r="L359" s="79">
        <v>0</v>
      </c>
      <c r="M359" s="79" t="s">
        <v>579</v>
      </c>
      <c r="N359" s="79" t="s">
        <v>452</v>
      </c>
      <c r="P359" s="79" t="s">
        <v>453</v>
      </c>
      <c r="Q359" s="79" t="s">
        <v>453</v>
      </c>
    </row>
    <row r="360" spans="1:17" ht="26.4">
      <c r="A360" s="172">
        <f t="shared" si="6"/>
        <v>357</v>
      </c>
      <c r="B360" s="80" t="s">
        <v>940</v>
      </c>
      <c r="C360" s="80" t="s">
        <v>661</v>
      </c>
      <c r="F360" s="80" t="s">
        <v>655</v>
      </c>
      <c r="G360" s="80" t="s">
        <v>456</v>
      </c>
      <c r="H360" s="80">
        <v>0</v>
      </c>
      <c r="I360" s="80" t="s">
        <v>456</v>
      </c>
      <c r="J360" s="79">
        <v>4</v>
      </c>
      <c r="K360" s="79">
        <v>0</v>
      </c>
      <c r="L360" s="79">
        <v>0</v>
      </c>
      <c r="M360" s="79" t="s">
        <v>579</v>
      </c>
      <c r="N360" s="79" t="s">
        <v>452</v>
      </c>
      <c r="P360" s="79" t="s">
        <v>453</v>
      </c>
      <c r="Q360" s="79" t="s">
        <v>453</v>
      </c>
    </row>
    <row r="361" spans="1:17">
      <c r="A361" s="172">
        <f t="shared" si="6"/>
        <v>358</v>
      </c>
      <c r="B361" s="80" t="s">
        <v>941</v>
      </c>
      <c r="C361" s="80" t="s">
        <v>661</v>
      </c>
      <c r="F361" s="80" t="s">
        <v>655</v>
      </c>
      <c r="G361" s="80" t="s">
        <v>456</v>
      </c>
      <c r="H361" s="80">
        <v>0</v>
      </c>
      <c r="I361" s="80" t="s">
        <v>456</v>
      </c>
      <c r="J361" s="79">
        <v>4</v>
      </c>
      <c r="K361" s="79">
        <v>0</v>
      </c>
      <c r="L361" s="79">
        <v>0</v>
      </c>
      <c r="M361" s="79" t="s">
        <v>579</v>
      </c>
      <c r="N361" s="79" t="s">
        <v>452</v>
      </c>
      <c r="P361" s="79" t="s">
        <v>453</v>
      </c>
      <c r="Q361" s="79" t="s">
        <v>453</v>
      </c>
    </row>
    <row r="362" spans="1:17">
      <c r="A362" s="172">
        <f t="shared" si="6"/>
        <v>359</v>
      </c>
      <c r="B362" s="80" t="s">
        <v>942</v>
      </c>
      <c r="C362" s="80" t="s">
        <v>661</v>
      </c>
      <c r="F362" s="80" t="s">
        <v>655</v>
      </c>
      <c r="G362" s="80" t="s">
        <v>456</v>
      </c>
      <c r="H362" s="80">
        <v>0</v>
      </c>
      <c r="I362" s="80" t="s">
        <v>456</v>
      </c>
      <c r="J362" s="79">
        <v>4</v>
      </c>
      <c r="K362" s="79">
        <v>0</v>
      </c>
      <c r="L362" s="79">
        <v>0</v>
      </c>
      <c r="M362" s="79" t="s">
        <v>579</v>
      </c>
      <c r="N362" s="79" t="s">
        <v>452</v>
      </c>
      <c r="P362" s="79" t="s">
        <v>453</v>
      </c>
      <c r="Q362" s="79" t="s">
        <v>453</v>
      </c>
    </row>
    <row r="363" spans="1:17">
      <c r="A363" s="172">
        <f t="shared" si="6"/>
        <v>360</v>
      </c>
      <c r="B363" s="80" t="s">
        <v>943</v>
      </c>
      <c r="C363" s="80" t="s">
        <v>661</v>
      </c>
      <c r="F363" s="80" t="s">
        <v>655</v>
      </c>
      <c r="G363" s="80" t="s">
        <v>456</v>
      </c>
      <c r="H363" s="80">
        <v>0</v>
      </c>
      <c r="I363" s="80" t="s">
        <v>456</v>
      </c>
      <c r="J363" s="79">
        <v>4</v>
      </c>
      <c r="K363" s="79">
        <v>0</v>
      </c>
      <c r="L363" s="79">
        <v>0</v>
      </c>
      <c r="M363" s="79" t="s">
        <v>579</v>
      </c>
      <c r="N363" s="79" t="s">
        <v>452</v>
      </c>
      <c r="P363" s="79" t="s">
        <v>453</v>
      </c>
      <c r="Q363" s="79" t="s">
        <v>453</v>
      </c>
    </row>
    <row r="364" spans="1:17" ht="26.4">
      <c r="A364" s="172">
        <f t="shared" si="6"/>
        <v>361</v>
      </c>
      <c r="B364" s="80" t="s">
        <v>944</v>
      </c>
      <c r="C364" s="80" t="s">
        <v>661</v>
      </c>
      <c r="F364" s="80" t="s">
        <v>655</v>
      </c>
      <c r="G364" s="80" t="s">
        <v>456</v>
      </c>
      <c r="H364" s="80">
        <v>0</v>
      </c>
      <c r="I364" s="80" t="s">
        <v>456</v>
      </c>
      <c r="J364" s="79">
        <v>4</v>
      </c>
      <c r="K364" s="79">
        <v>0</v>
      </c>
      <c r="L364" s="79">
        <v>0</v>
      </c>
      <c r="M364" s="79" t="s">
        <v>579</v>
      </c>
      <c r="N364" s="79" t="s">
        <v>452</v>
      </c>
      <c r="P364" s="79" t="s">
        <v>453</v>
      </c>
      <c r="Q364" s="79" t="s">
        <v>453</v>
      </c>
    </row>
    <row r="365" spans="1:17" ht="26.4">
      <c r="A365" s="172">
        <f t="shared" si="6"/>
        <v>362</v>
      </c>
      <c r="B365" s="80" t="s">
        <v>945</v>
      </c>
      <c r="C365" s="80" t="s">
        <v>661</v>
      </c>
      <c r="F365" s="80" t="s">
        <v>655</v>
      </c>
      <c r="G365" s="80" t="s">
        <v>456</v>
      </c>
      <c r="H365" s="80">
        <v>0</v>
      </c>
      <c r="I365" s="80" t="s">
        <v>456</v>
      </c>
      <c r="J365" s="79">
        <v>4</v>
      </c>
      <c r="K365" s="79">
        <v>0</v>
      </c>
      <c r="L365" s="79">
        <v>0</v>
      </c>
      <c r="M365" s="79" t="s">
        <v>579</v>
      </c>
      <c r="N365" s="79" t="s">
        <v>452</v>
      </c>
      <c r="P365" s="79" t="s">
        <v>453</v>
      </c>
      <c r="Q365" s="79" t="s">
        <v>453</v>
      </c>
    </row>
    <row r="366" spans="1:17" ht="26.4">
      <c r="A366" s="172">
        <f t="shared" si="6"/>
        <v>363</v>
      </c>
      <c r="B366" s="80" t="s">
        <v>946</v>
      </c>
      <c r="C366" s="80" t="s">
        <v>661</v>
      </c>
      <c r="F366" s="80" t="s">
        <v>655</v>
      </c>
      <c r="G366" s="80" t="s">
        <v>456</v>
      </c>
      <c r="H366" s="80">
        <v>0</v>
      </c>
      <c r="I366" s="80" t="s">
        <v>456</v>
      </c>
      <c r="J366" s="79">
        <v>4</v>
      </c>
      <c r="K366" s="79">
        <v>0</v>
      </c>
      <c r="L366" s="79">
        <v>0</v>
      </c>
      <c r="M366" s="79" t="s">
        <v>579</v>
      </c>
      <c r="N366" s="79" t="s">
        <v>452</v>
      </c>
      <c r="P366" s="79" t="s">
        <v>453</v>
      </c>
      <c r="Q366" s="79" t="s">
        <v>453</v>
      </c>
    </row>
    <row r="367" spans="1:17" ht="26.4">
      <c r="A367" s="172">
        <f t="shared" si="6"/>
        <v>364</v>
      </c>
      <c r="B367" s="80" t="s">
        <v>947</v>
      </c>
      <c r="C367" s="80" t="s">
        <v>661</v>
      </c>
      <c r="F367" s="80" t="s">
        <v>655</v>
      </c>
      <c r="G367" s="80" t="s">
        <v>456</v>
      </c>
      <c r="H367" s="80">
        <v>0</v>
      </c>
      <c r="I367" s="80" t="s">
        <v>456</v>
      </c>
      <c r="J367" s="79">
        <v>4</v>
      </c>
      <c r="K367" s="79">
        <v>0</v>
      </c>
      <c r="L367" s="79">
        <v>0</v>
      </c>
      <c r="M367" s="79" t="s">
        <v>579</v>
      </c>
      <c r="N367" s="79" t="s">
        <v>452</v>
      </c>
      <c r="P367" s="79" t="s">
        <v>453</v>
      </c>
      <c r="Q367" s="79" t="s">
        <v>453</v>
      </c>
    </row>
    <row r="368" spans="1:17" ht="26.4">
      <c r="A368" s="172">
        <f t="shared" si="6"/>
        <v>365</v>
      </c>
      <c r="B368" s="80" t="s">
        <v>948</v>
      </c>
      <c r="C368" s="80" t="s">
        <v>661</v>
      </c>
      <c r="F368" s="80" t="s">
        <v>655</v>
      </c>
      <c r="G368" s="80" t="s">
        <v>456</v>
      </c>
      <c r="H368" s="80">
        <v>0</v>
      </c>
      <c r="I368" s="80" t="s">
        <v>456</v>
      </c>
      <c r="J368" s="79">
        <v>4</v>
      </c>
      <c r="K368" s="79">
        <v>0</v>
      </c>
      <c r="L368" s="79">
        <v>0</v>
      </c>
      <c r="M368" s="79" t="s">
        <v>579</v>
      </c>
      <c r="N368" s="79" t="s">
        <v>452</v>
      </c>
      <c r="P368" s="79" t="s">
        <v>453</v>
      </c>
      <c r="Q368" s="79" t="s">
        <v>453</v>
      </c>
    </row>
    <row r="369" spans="1:17" ht="26.4">
      <c r="A369" s="172">
        <f t="shared" si="6"/>
        <v>366</v>
      </c>
      <c r="B369" s="80" t="s">
        <v>949</v>
      </c>
      <c r="C369" s="80" t="s">
        <v>661</v>
      </c>
      <c r="F369" s="80" t="s">
        <v>655</v>
      </c>
      <c r="G369" s="80" t="s">
        <v>456</v>
      </c>
      <c r="H369" s="80">
        <v>0</v>
      </c>
      <c r="I369" s="80" t="s">
        <v>456</v>
      </c>
      <c r="J369" s="79">
        <v>4</v>
      </c>
      <c r="K369" s="79">
        <v>0</v>
      </c>
      <c r="L369" s="79">
        <v>0</v>
      </c>
      <c r="M369" s="79" t="s">
        <v>579</v>
      </c>
      <c r="N369" s="79" t="s">
        <v>452</v>
      </c>
      <c r="P369" s="79" t="s">
        <v>453</v>
      </c>
      <c r="Q369" s="79" t="s">
        <v>453</v>
      </c>
    </row>
    <row r="370" spans="1:17" ht="26.4">
      <c r="A370" s="172">
        <f t="shared" si="6"/>
        <v>367</v>
      </c>
      <c r="B370" s="80" t="s">
        <v>950</v>
      </c>
      <c r="C370" s="80" t="s">
        <v>661</v>
      </c>
      <c r="F370" s="80" t="s">
        <v>655</v>
      </c>
      <c r="G370" s="80" t="s">
        <v>456</v>
      </c>
      <c r="H370" s="80">
        <v>0</v>
      </c>
      <c r="I370" s="80" t="s">
        <v>456</v>
      </c>
      <c r="J370" s="79">
        <v>4</v>
      </c>
      <c r="K370" s="79">
        <v>0</v>
      </c>
      <c r="L370" s="79">
        <v>0</v>
      </c>
      <c r="M370" s="79" t="s">
        <v>579</v>
      </c>
      <c r="N370" s="79" t="s">
        <v>452</v>
      </c>
      <c r="P370" s="79" t="s">
        <v>453</v>
      </c>
      <c r="Q370" s="79" t="s">
        <v>453</v>
      </c>
    </row>
    <row r="371" spans="1:17" ht="26.4">
      <c r="A371" s="172">
        <f t="shared" si="6"/>
        <v>368</v>
      </c>
      <c r="B371" s="80" t="s">
        <v>951</v>
      </c>
      <c r="C371" s="80" t="s">
        <v>661</v>
      </c>
      <c r="F371" s="80" t="s">
        <v>655</v>
      </c>
      <c r="G371" s="80" t="s">
        <v>456</v>
      </c>
      <c r="H371" s="80">
        <v>0</v>
      </c>
      <c r="I371" s="80" t="s">
        <v>456</v>
      </c>
      <c r="J371" s="79">
        <v>4</v>
      </c>
      <c r="K371" s="79">
        <v>0</v>
      </c>
      <c r="L371" s="79">
        <v>0</v>
      </c>
      <c r="M371" s="79" t="s">
        <v>579</v>
      </c>
      <c r="N371" s="79" t="s">
        <v>452</v>
      </c>
      <c r="P371" s="79" t="s">
        <v>453</v>
      </c>
      <c r="Q371" s="79" t="s">
        <v>453</v>
      </c>
    </row>
    <row r="372" spans="1:17" ht="26.4">
      <c r="A372" s="172">
        <f t="shared" si="6"/>
        <v>369</v>
      </c>
      <c r="B372" s="80" t="s">
        <v>952</v>
      </c>
      <c r="C372" s="80" t="s">
        <v>661</v>
      </c>
      <c r="F372" s="80" t="s">
        <v>655</v>
      </c>
      <c r="G372" s="80" t="s">
        <v>456</v>
      </c>
      <c r="H372" s="80">
        <v>0</v>
      </c>
      <c r="I372" s="80" t="s">
        <v>456</v>
      </c>
      <c r="J372" s="79">
        <v>12</v>
      </c>
      <c r="K372" s="79">
        <v>0</v>
      </c>
      <c r="L372" s="79">
        <v>0</v>
      </c>
      <c r="M372" s="79" t="s">
        <v>579</v>
      </c>
      <c r="N372" s="79" t="s">
        <v>452</v>
      </c>
      <c r="P372" s="79" t="s">
        <v>453</v>
      </c>
      <c r="Q372" s="79" t="s">
        <v>453</v>
      </c>
    </row>
    <row r="373" spans="1:17" ht="39.6">
      <c r="A373" s="172">
        <f t="shared" si="6"/>
        <v>370</v>
      </c>
      <c r="B373" s="80" t="s">
        <v>953</v>
      </c>
      <c r="C373" s="80" t="s">
        <v>661</v>
      </c>
      <c r="F373" s="80" t="s">
        <v>655</v>
      </c>
      <c r="G373" s="80" t="s">
        <v>456</v>
      </c>
      <c r="H373" s="80">
        <v>0</v>
      </c>
      <c r="I373" s="80" t="s">
        <v>456</v>
      </c>
      <c r="J373" s="79">
        <v>4</v>
      </c>
      <c r="K373" s="79">
        <v>0</v>
      </c>
      <c r="L373" s="79">
        <v>0</v>
      </c>
      <c r="M373" s="79" t="s">
        <v>579</v>
      </c>
      <c r="N373" s="79" t="s">
        <v>452</v>
      </c>
      <c r="P373" s="79" t="s">
        <v>453</v>
      </c>
      <c r="Q373" s="79" t="s">
        <v>453</v>
      </c>
    </row>
    <row r="374" spans="1:17" ht="26.4">
      <c r="A374" s="172">
        <f t="shared" si="6"/>
        <v>371</v>
      </c>
      <c r="B374" s="80" t="s">
        <v>954</v>
      </c>
      <c r="C374" s="80" t="s">
        <v>661</v>
      </c>
      <c r="F374" s="80" t="s">
        <v>655</v>
      </c>
      <c r="G374" s="80" t="s">
        <v>456</v>
      </c>
      <c r="H374" s="80">
        <v>0</v>
      </c>
      <c r="I374" s="80" t="s">
        <v>456</v>
      </c>
      <c r="J374" s="79">
        <v>4</v>
      </c>
      <c r="K374" s="79">
        <v>0</v>
      </c>
      <c r="L374" s="79">
        <v>0</v>
      </c>
      <c r="M374" s="79" t="s">
        <v>579</v>
      </c>
      <c r="N374" s="79" t="s">
        <v>452</v>
      </c>
      <c r="P374" s="79" t="s">
        <v>453</v>
      </c>
      <c r="Q374" s="79" t="s">
        <v>453</v>
      </c>
    </row>
    <row r="375" spans="1:17" ht="26.4">
      <c r="A375" s="172">
        <f t="shared" si="6"/>
        <v>372</v>
      </c>
      <c r="B375" s="80" t="s">
        <v>955</v>
      </c>
      <c r="C375" s="80" t="s">
        <v>661</v>
      </c>
      <c r="F375" s="80" t="s">
        <v>655</v>
      </c>
      <c r="G375" s="80" t="s">
        <v>456</v>
      </c>
      <c r="H375" s="80">
        <v>0</v>
      </c>
      <c r="I375" s="80" t="s">
        <v>456</v>
      </c>
      <c r="J375" s="79">
        <v>4</v>
      </c>
      <c r="K375" s="79">
        <v>0</v>
      </c>
      <c r="L375" s="79">
        <v>0</v>
      </c>
      <c r="M375" s="79" t="s">
        <v>579</v>
      </c>
      <c r="N375" s="79" t="s">
        <v>452</v>
      </c>
      <c r="P375" s="79" t="s">
        <v>453</v>
      </c>
      <c r="Q375" s="79" t="s">
        <v>453</v>
      </c>
    </row>
    <row r="376" spans="1:17" ht="26.4">
      <c r="A376" s="172">
        <f t="shared" si="6"/>
        <v>373</v>
      </c>
      <c r="B376" s="80" t="s">
        <v>956</v>
      </c>
      <c r="C376" s="80" t="s">
        <v>661</v>
      </c>
      <c r="F376" s="80" t="s">
        <v>655</v>
      </c>
      <c r="G376" s="80" t="s">
        <v>456</v>
      </c>
      <c r="H376" s="80">
        <v>0</v>
      </c>
      <c r="I376" s="80" t="s">
        <v>456</v>
      </c>
      <c r="J376" s="79">
        <v>12</v>
      </c>
      <c r="K376" s="79">
        <v>0</v>
      </c>
      <c r="L376" s="79">
        <v>0</v>
      </c>
      <c r="M376" s="79" t="s">
        <v>579</v>
      </c>
      <c r="N376" s="79" t="s">
        <v>452</v>
      </c>
      <c r="P376" s="79" t="s">
        <v>453</v>
      </c>
      <c r="Q376" s="79" t="s">
        <v>453</v>
      </c>
    </row>
    <row r="377" spans="1:17" ht="26.4">
      <c r="A377" s="172">
        <f t="shared" si="6"/>
        <v>374</v>
      </c>
      <c r="B377" s="80" t="s">
        <v>957</v>
      </c>
      <c r="C377" s="80" t="s">
        <v>661</v>
      </c>
      <c r="F377" s="80" t="s">
        <v>655</v>
      </c>
      <c r="G377" s="80" t="s">
        <v>456</v>
      </c>
      <c r="H377" s="80">
        <v>0</v>
      </c>
      <c r="I377" s="80" t="s">
        <v>456</v>
      </c>
      <c r="J377" s="79">
        <v>12</v>
      </c>
      <c r="K377" s="79">
        <v>0</v>
      </c>
      <c r="L377" s="79">
        <v>0</v>
      </c>
      <c r="M377" s="79" t="s">
        <v>579</v>
      </c>
      <c r="N377" s="79" t="s">
        <v>452</v>
      </c>
      <c r="P377" s="79" t="s">
        <v>453</v>
      </c>
      <c r="Q377" s="79" t="s">
        <v>453</v>
      </c>
    </row>
    <row r="378" spans="1:17" ht="26.4">
      <c r="A378" s="172">
        <f t="shared" si="6"/>
        <v>375</v>
      </c>
      <c r="B378" s="80" t="s">
        <v>958</v>
      </c>
      <c r="C378" s="80" t="s">
        <v>661</v>
      </c>
      <c r="F378" s="80" t="s">
        <v>655</v>
      </c>
      <c r="G378" s="80" t="s">
        <v>456</v>
      </c>
      <c r="H378" s="80">
        <v>0</v>
      </c>
      <c r="I378" s="80" t="s">
        <v>456</v>
      </c>
      <c r="J378" s="79">
        <v>12</v>
      </c>
      <c r="K378" s="79">
        <v>0</v>
      </c>
      <c r="L378" s="79">
        <v>0</v>
      </c>
      <c r="M378" s="79" t="s">
        <v>579</v>
      </c>
      <c r="N378" s="79" t="s">
        <v>452</v>
      </c>
      <c r="P378" s="79" t="s">
        <v>453</v>
      </c>
      <c r="Q378" s="79" t="s">
        <v>453</v>
      </c>
    </row>
    <row r="379" spans="1:17">
      <c r="A379" s="172">
        <f t="shared" si="6"/>
        <v>376</v>
      </c>
      <c r="B379" s="80" t="s">
        <v>394</v>
      </c>
      <c r="C379" s="80" t="s">
        <v>661</v>
      </c>
      <c r="F379" s="80" t="s">
        <v>655</v>
      </c>
      <c r="G379" s="80" t="s">
        <v>468</v>
      </c>
      <c r="H379" s="80" t="s">
        <v>118</v>
      </c>
      <c r="I379" s="80" t="s">
        <v>450</v>
      </c>
      <c r="J379" s="79">
        <v>1</v>
      </c>
      <c r="K379" s="79">
        <v>0</v>
      </c>
      <c r="L379" s="79">
        <v>0</v>
      </c>
      <c r="M379" s="79" t="s">
        <v>579</v>
      </c>
      <c r="N379" s="79" t="s">
        <v>452</v>
      </c>
      <c r="P379" s="79" t="s">
        <v>453</v>
      </c>
      <c r="Q379" s="79" t="s">
        <v>453</v>
      </c>
    </row>
    <row r="380" spans="1:17">
      <c r="A380" s="172">
        <f t="shared" si="6"/>
        <v>377</v>
      </c>
      <c r="B380" s="80" t="s">
        <v>959</v>
      </c>
      <c r="C380" s="80" t="s">
        <v>661</v>
      </c>
      <c r="F380" s="80" t="s">
        <v>655</v>
      </c>
      <c r="G380" s="80" t="s">
        <v>468</v>
      </c>
      <c r="H380" s="80" t="s">
        <v>118</v>
      </c>
      <c r="I380" s="80" t="s">
        <v>450</v>
      </c>
      <c r="J380" s="79">
        <v>1</v>
      </c>
      <c r="K380" s="79">
        <v>0</v>
      </c>
      <c r="L380" s="79">
        <v>0</v>
      </c>
      <c r="M380" s="79" t="s">
        <v>579</v>
      </c>
      <c r="N380" s="79" t="s">
        <v>452</v>
      </c>
      <c r="P380" s="79" t="s">
        <v>453</v>
      </c>
      <c r="Q380" s="79" t="s">
        <v>453</v>
      </c>
    </row>
    <row r="381" spans="1:17">
      <c r="A381" s="172">
        <f t="shared" si="6"/>
        <v>378</v>
      </c>
      <c r="B381" s="80" t="s">
        <v>960</v>
      </c>
      <c r="C381" s="80" t="s">
        <v>661</v>
      </c>
      <c r="F381" s="80" t="s">
        <v>655</v>
      </c>
      <c r="G381" s="80" t="s">
        <v>468</v>
      </c>
      <c r="H381" s="80" t="s">
        <v>118</v>
      </c>
      <c r="I381" s="80" t="s">
        <v>450</v>
      </c>
      <c r="J381" s="79">
        <v>1</v>
      </c>
      <c r="K381" s="79">
        <v>0</v>
      </c>
      <c r="L381" s="79">
        <v>0</v>
      </c>
      <c r="M381" s="79" t="s">
        <v>579</v>
      </c>
      <c r="N381" s="79" t="s">
        <v>452</v>
      </c>
      <c r="P381" s="79" t="s">
        <v>453</v>
      </c>
      <c r="Q381" s="79" t="s">
        <v>453</v>
      </c>
    </row>
    <row r="382" spans="1:17">
      <c r="A382" s="172">
        <f t="shared" si="6"/>
        <v>379</v>
      </c>
      <c r="B382" s="80" t="s">
        <v>961</v>
      </c>
      <c r="C382" s="80" t="s">
        <v>661</v>
      </c>
      <c r="D382" s="80" t="s">
        <v>961</v>
      </c>
      <c r="E382" s="80" t="s">
        <v>962</v>
      </c>
      <c r="F382" s="80" t="s">
        <v>655</v>
      </c>
      <c r="G382" s="80" t="s">
        <v>456</v>
      </c>
      <c r="H382" s="80">
        <v>0</v>
      </c>
      <c r="I382" s="80" t="s">
        <v>456</v>
      </c>
      <c r="J382" s="79">
        <v>4</v>
      </c>
      <c r="K382" s="79">
        <v>0</v>
      </c>
      <c r="L382" s="79">
        <v>0</v>
      </c>
      <c r="M382" s="79" t="s">
        <v>579</v>
      </c>
      <c r="N382" s="79" t="s">
        <v>452</v>
      </c>
      <c r="P382" s="79" t="s">
        <v>453</v>
      </c>
      <c r="Q382" s="79" t="s">
        <v>453</v>
      </c>
    </row>
    <row r="383" spans="1:17">
      <c r="A383" s="172">
        <f t="shared" si="6"/>
        <v>380</v>
      </c>
      <c r="B383" s="80" t="s">
        <v>963</v>
      </c>
      <c r="C383" s="80" t="s">
        <v>661</v>
      </c>
      <c r="F383" s="80" t="s">
        <v>655</v>
      </c>
      <c r="G383" s="80" t="s">
        <v>456</v>
      </c>
      <c r="H383" s="80">
        <v>0</v>
      </c>
      <c r="I383" s="80" t="s">
        <v>456</v>
      </c>
      <c r="J383" s="79">
        <v>4</v>
      </c>
      <c r="K383" s="79">
        <v>0</v>
      </c>
      <c r="L383" s="79">
        <v>0</v>
      </c>
      <c r="M383" s="79" t="s">
        <v>579</v>
      </c>
      <c r="N383" s="79" t="s">
        <v>452</v>
      </c>
      <c r="P383" s="79" t="s">
        <v>453</v>
      </c>
      <c r="Q383" s="79" t="s">
        <v>453</v>
      </c>
    </row>
    <row r="384" spans="1:17">
      <c r="A384" s="172">
        <f t="shared" si="6"/>
        <v>381</v>
      </c>
      <c r="B384" s="80" t="s">
        <v>964</v>
      </c>
      <c r="C384" s="80" t="s">
        <v>661</v>
      </c>
      <c r="F384" s="80" t="s">
        <v>655</v>
      </c>
      <c r="G384" s="80" t="s">
        <v>456</v>
      </c>
      <c r="H384" s="80">
        <v>0</v>
      </c>
      <c r="I384" s="80" t="s">
        <v>456</v>
      </c>
      <c r="J384" s="79">
        <v>4</v>
      </c>
      <c r="K384" s="79">
        <v>0</v>
      </c>
      <c r="L384" s="79">
        <v>0</v>
      </c>
      <c r="M384" s="79" t="s">
        <v>579</v>
      </c>
      <c r="N384" s="79" t="s">
        <v>452</v>
      </c>
      <c r="P384" s="79" t="s">
        <v>453</v>
      </c>
      <c r="Q384" s="79" t="s">
        <v>453</v>
      </c>
    </row>
    <row r="385" spans="1:17" ht="26.4">
      <c r="A385" s="172">
        <f t="shared" si="6"/>
        <v>382</v>
      </c>
      <c r="B385" s="80" t="s">
        <v>965</v>
      </c>
      <c r="C385" s="80" t="s">
        <v>661</v>
      </c>
      <c r="F385" s="80" t="s">
        <v>655</v>
      </c>
      <c r="G385" s="80" t="s">
        <v>456</v>
      </c>
      <c r="H385" s="80">
        <v>0</v>
      </c>
      <c r="I385" s="80" t="s">
        <v>456</v>
      </c>
      <c r="J385" s="79">
        <v>4</v>
      </c>
      <c r="K385" s="79">
        <v>0</v>
      </c>
      <c r="L385" s="79">
        <v>0</v>
      </c>
      <c r="M385" s="79" t="s">
        <v>579</v>
      </c>
      <c r="N385" s="79" t="s">
        <v>452</v>
      </c>
      <c r="P385" s="79" t="s">
        <v>453</v>
      </c>
      <c r="Q385" s="79" t="s">
        <v>453</v>
      </c>
    </row>
    <row r="386" spans="1:17" ht="26.4">
      <c r="A386" s="172">
        <f t="shared" si="6"/>
        <v>383</v>
      </c>
      <c r="B386" s="80" t="s">
        <v>966</v>
      </c>
      <c r="C386" s="80" t="s">
        <v>661</v>
      </c>
      <c r="F386" s="80" t="s">
        <v>655</v>
      </c>
      <c r="G386" s="80" t="s">
        <v>456</v>
      </c>
      <c r="H386" s="80">
        <v>0</v>
      </c>
      <c r="I386" s="80" t="s">
        <v>456</v>
      </c>
      <c r="J386" s="79">
        <v>4</v>
      </c>
      <c r="K386" s="79">
        <v>0</v>
      </c>
      <c r="L386" s="79">
        <v>0</v>
      </c>
      <c r="M386" s="79" t="s">
        <v>579</v>
      </c>
      <c r="N386" s="79" t="s">
        <v>452</v>
      </c>
      <c r="P386" s="79" t="s">
        <v>453</v>
      </c>
      <c r="Q386" s="79" t="s">
        <v>453</v>
      </c>
    </row>
    <row r="387" spans="1:17" ht="26.4">
      <c r="A387" s="172">
        <f t="shared" si="6"/>
        <v>384</v>
      </c>
      <c r="B387" s="80" t="s">
        <v>967</v>
      </c>
      <c r="C387" s="80" t="s">
        <v>661</v>
      </c>
      <c r="F387" s="80" t="s">
        <v>655</v>
      </c>
      <c r="G387" s="80" t="s">
        <v>456</v>
      </c>
      <c r="H387" s="80">
        <v>0</v>
      </c>
      <c r="I387" s="80" t="s">
        <v>456</v>
      </c>
      <c r="J387" s="79">
        <v>4</v>
      </c>
      <c r="K387" s="79">
        <v>0</v>
      </c>
      <c r="L387" s="79">
        <v>0</v>
      </c>
      <c r="M387" s="79" t="s">
        <v>579</v>
      </c>
      <c r="N387" s="79" t="s">
        <v>452</v>
      </c>
      <c r="P387" s="79" t="s">
        <v>453</v>
      </c>
      <c r="Q387" s="79" t="s">
        <v>453</v>
      </c>
    </row>
    <row r="388" spans="1:17" ht="26.4">
      <c r="A388" s="172">
        <f t="shared" si="6"/>
        <v>385</v>
      </c>
      <c r="B388" s="80" t="s">
        <v>968</v>
      </c>
      <c r="C388" s="80" t="s">
        <v>661</v>
      </c>
      <c r="F388" s="80" t="s">
        <v>655</v>
      </c>
      <c r="G388" s="80" t="s">
        <v>456</v>
      </c>
      <c r="H388" s="80">
        <v>0</v>
      </c>
      <c r="I388" s="80" t="s">
        <v>456</v>
      </c>
      <c r="J388" s="79">
        <v>12</v>
      </c>
      <c r="K388" s="79">
        <v>0</v>
      </c>
      <c r="L388" s="79">
        <v>0</v>
      </c>
      <c r="M388" s="79" t="s">
        <v>579</v>
      </c>
      <c r="N388" s="79" t="s">
        <v>452</v>
      </c>
      <c r="P388" s="79" t="s">
        <v>453</v>
      </c>
      <c r="Q388" s="79" t="s">
        <v>453</v>
      </c>
    </row>
    <row r="389" spans="1:17" ht="26.4">
      <c r="A389" s="172">
        <f t="shared" si="6"/>
        <v>386</v>
      </c>
      <c r="B389" s="80" t="s">
        <v>969</v>
      </c>
      <c r="C389" s="80" t="s">
        <v>661</v>
      </c>
      <c r="F389" s="80" t="s">
        <v>655</v>
      </c>
      <c r="G389" s="80" t="s">
        <v>456</v>
      </c>
      <c r="H389" s="80">
        <v>0</v>
      </c>
      <c r="I389" s="80" t="s">
        <v>456</v>
      </c>
      <c r="J389" s="79">
        <v>12</v>
      </c>
      <c r="K389" s="79">
        <v>0</v>
      </c>
      <c r="L389" s="79">
        <v>0</v>
      </c>
      <c r="M389" s="79" t="s">
        <v>579</v>
      </c>
      <c r="N389" s="79" t="s">
        <v>452</v>
      </c>
      <c r="P389" s="79" t="s">
        <v>453</v>
      </c>
      <c r="Q389" s="79" t="s">
        <v>453</v>
      </c>
    </row>
    <row r="390" spans="1:17" ht="26.4">
      <c r="A390" s="172">
        <f t="shared" si="6"/>
        <v>387</v>
      </c>
      <c r="B390" s="80" t="s">
        <v>970</v>
      </c>
      <c r="C390" s="80" t="s">
        <v>661</v>
      </c>
      <c r="F390" s="80" t="s">
        <v>655</v>
      </c>
      <c r="G390" s="80" t="s">
        <v>456</v>
      </c>
      <c r="H390" s="80">
        <v>0</v>
      </c>
      <c r="I390" s="80" t="s">
        <v>456</v>
      </c>
      <c r="J390" s="79">
        <v>12</v>
      </c>
      <c r="K390" s="79">
        <v>0</v>
      </c>
      <c r="L390" s="79">
        <v>0</v>
      </c>
      <c r="M390" s="79" t="s">
        <v>579</v>
      </c>
      <c r="N390" s="79" t="s">
        <v>452</v>
      </c>
      <c r="P390" s="79" t="s">
        <v>453</v>
      </c>
      <c r="Q390" s="79" t="s">
        <v>453</v>
      </c>
    </row>
    <row r="391" spans="1:17" ht="26.4">
      <c r="A391" s="172">
        <f t="shared" si="6"/>
        <v>388</v>
      </c>
      <c r="B391" s="80" t="s">
        <v>971</v>
      </c>
      <c r="C391" s="80" t="s">
        <v>661</v>
      </c>
      <c r="F391" s="80" t="s">
        <v>655</v>
      </c>
      <c r="G391" s="80" t="s">
        <v>456</v>
      </c>
      <c r="H391" s="80">
        <v>0</v>
      </c>
      <c r="I391" s="80" t="s">
        <v>456</v>
      </c>
      <c r="J391" s="79">
        <v>12</v>
      </c>
      <c r="K391" s="79">
        <v>0</v>
      </c>
      <c r="L391" s="79">
        <v>0</v>
      </c>
      <c r="M391" s="79" t="s">
        <v>579</v>
      </c>
      <c r="N391" s="79" t="s">
        <v>452</v>
      </c>
      <c r="P391" s="79" t="s">
        <v>453</v>
      </c>
      <c r="Q391" s="79" t="s">
        <v>453</v>
      </c>
    </row>
    <row r="392" spans="1:17" ht="26.4">
      <c r="A392" s="172">
        <f t="shared" si="6"/>
        <v>389</v>
      </c>
      <c r="B392" s="80" t="s">
        <v>972</v>
      </c>
      <c r="C392" s="80" t="s">
        <v>661</v>
      </c>
      <c r="F392" s="80" t="s">
        <v>655</v>
      </c>
      <c r="G392" s="80" t="s">
        <v>456</v>
      </c>
      <c r="H392" s="80">
        <v>0</v>
      </c>
      <c r="I392" s="80" t="s">
        <v>456</v>
      </c>
      <c r="J392" s="79">
        <v>12</v>
      </c>
      <c r="K392" s="79">
        <v>0</v>
      </c>
      <c r="L392" s="79">
        <v>0</v>
      </c>
      <c r="M392" s="79" t="s">
        <v>579</v>
      </c>
      <c r="N392" s="79" t="s">
        <v>452</v>
      </c>
      <c r="P392" s="79" t="s">
        <v>453</v>
      </c>
      <c r="Q392" s="79" t="s">
        <v>453</v>
      </c>
    </row>
    <row r="393" spans="1:17" ht="26.4">
      <c r="A393" s="172">
        <f t="shared" si="6"/>
        <v>390</v>
      </c>
      <c r="B393" s="80" t="s">
        <v>973</v>
      </c>
      <c r="C393" s="80" t="s">
        <v>974</v>
      </c>
      <c r="E393" s="116" t="s">
        <v>975</v>
      </c>
      <c r="F393" s="80" t="s">
        <v>976</v>
      </c>
      <c r="G393" s="80" t="s">
        <v>468</v>
      </c>
      <c r="H393" s="80" t="s">
        <v>118</v>
      </c>
      <c r="I393" s="80" t="s">
        <v>450</v>
      </c>
      <c r="J393" s="79">
        <v>1</v>
      </c>
      <c r="K393" s="79">
        <v>0</v>
      </c>
      <c r="L393" s="79">
        <v>0</v>
      </c>
      <c r="M393" s="79" t="s">
        <v>451</v>
      </c>
      <c r="N393" s="79" t="s">
        <v>977</v>
      </c>
      <c r="O393" s="79" t="s">
        <v>453</v>
      </c>
      <c r="P393" s="79" t="s">
        <v>453</v>
      </c>
      <c r="Q393" s="79" t="s">
        <v>453</v>
      </c>
    </row>
    <row r="394" spans="1:17">
      <c r="A394" s="172">
        <f t="shared" si="6"/>
        <v>391</v>
      </c>
      <c r="B394" s="80" t="s">
        <v>978</v>
      </c>
      <c r="C394" s="80" t="s">
        <v>661</v>
      </c>
      <c r="D394" s="80" t="s">
        <v>979</v>
      </c>
      <c r="F394" s="80" t="s">
        <v>655</v>
      </c>
      <c r="G394" s="80" t="s">
        <v>468</v>
      </c>
      <c r="H394" s="80" t="s">
        <v>118</v>
      </c>
      <c r="I394" s="80" t="s">
        <v>450</v>
      </c>
      <c r="J394" s="79">
        <v>1</v>
      </c>
      <c r="K394" s="79">
        <v>0</v>
      </c>
      <c r="L394" s="79">
        <v>0</v>
      </c>
      <c r="M394" s="79" t="s">
        <v>579</v>
      </c>
      <c r="N394" s="79" t="s">
        <v>452</v>
      </c>
      <c r="P394" s="79" t="s">
        <v>453</v>
      </c>
      <c r="Q394" s="79" t="s">
        <v>453</v>
      </c>
    </row>
    <row r="395" spans="1:17">
      <c r="A395" s="172">
        <f t="shared" si="6"/>
        <v>392</v>
      </c>
      <c r="B395" s="80" t="s">
        <v>980</v>
      </c>
      <c r="C395" s="80" t="s">
        <v>981</v>
      </c>
      <c r="E395" s="80" t="s">
        <v>982</v>
      </c>
      <c r="F395" s="80" t="s">
        <v>976</v>
      </c>
      <c r="G395" s="80" t="s">
        <v>468</v>
      </c>
      <c r="H395" s="80" t="s">
        <v>118</v>
      </c>
      <c r="I395" s="80" t="s">
        <v>450</v>
      </c>
      <c r="J395" s="79">
        <v>1</v>
      </c>
      <c r="K395" s="79">
        <v>0</v>
      </c>
      <c r="L395" s="79">
        <v>0</v>
      </c>
      <c r="M395" s="79" t="s">
        <v>451</v>
      </c>
      <c r="N395" s="79" t="s">
        <v>977</v>
      </c>
      <c r="O395" s="79" t="s">
        <v>453</v>
      </c>
      <c r="P395" s="79" t="s">
        <v>453</v>
      </c>
      <c r="Q395" s="79" t="s">
        <v>453</v>
      </c>
    </row>
    <row r="396" spans="1:17">
      <c r="A396" s="172">
        <f t="shared" si="6"/>
        <v>393</v>
      </c>
      <c r="B396" s="80" t="s">
        <v>983</v>
      </c>
      <c r="C396" s="80" t="s">
        <v>984</v>
      </c>
      <c r="F396" s="80" t="s">
        <v>976</v>
      </c>
      <c r="H396" s="80" t="s">
        <v>449</v>
      </c>
      <c r="I396" s="80" t="s">
        <v>450</v>
      </c>
      <c r="J396" s="79">
        <v>4</v>
      </c>
      <c r="K396" s="79">
        <v>0</v>
      </c>
      <c r="L396" s="79">
        <v>0</v>
      </c>
      <c r="M396" s="79" t="s">
        <v>451</v>
      </c>
      <c r="N396" s="79" t="s">
        <v>977</v>
      </c>
      <c r="O396" s="79" t="s">
        <v>453</v>
      </c>
      <c r="P396" s="79" t="s">
        <v>453</v>
      </c>
      <c r="Q396" s="79" t="s">
        <v>453</v>
      </c>
    </row>
    <row r="397" spans="1:17">
      <c r="A397" s="172">
        <f t="shared" si="6"/>
        <v>394</v>
      </c>
      <c r="B397" s="80" t="s">
        <v>985</v>
      </c>
      <c r="C397" s="80" t="s">
        <v>986</v>
      </c>
      <c r="F397" s="80" t="s">
        <v>976</v>
      </c>
      <c r="G397" s="80" t="s">
        <v>456</v>
      </c>
      <c r="H397" s="80">
        <v>0</v>
      </c>
      <c r="I397" s="80" t="s">
        <v>456</v>
      </c>
      <c r="J397" s="79">
        <v>12</v>
      </c>
      <c r="K397" s="79">
        <v>0</v>
      </c>
      <c r="L397" s="79">
        <v>0</v>
      </c>
      <c r="M397" s="79" t="s">
        <v>579</v>
      </c>
      <c r="N397" s="79" t="s">
        <v>977</v>
      </c>
      <c r="O397" s="79" t="s">
        <v>453</v>
      </c>
      <c r="P397" s="79" t="s">
        <v>453</v>
      </c>
      <c r="Q397" s="79" t="s">
        <v>453</v>
      </c>
    </row>
    <row r="398" spans="1:17">
      <c r="A398" s="172">
        <f t="shared" si="6"/>
        <v>395</v>
      </c>
      <c r="B398" s="80" t="s">
        <v>987</v>
      </c>
      <c r="C398" s="80" t="s">
        <v>988</v>
      </c>
      <c r="F398" s="80" t="s">
        <v>976</v>
      </c>
      <c r="G398" s="80" t="s">
        <v>989</v>
      </c>
      <c r="H398" s="80" t="s">
        <v>449</v>
      </c>
      <c r="I398" s="80" t="s">
        <v>450</v>
      </c>
      <c r="J398" s="79">
        <v>4</v>
      </c>
      <c r="K398" s="79">
        <v>0</v>
      </c>
      <c r="L398" s="79">
        <v>0</v>
      </c>
      <c r="M398" s="79" t="s">
        <v>451</v>
      </c>
      <c r="N398" s="79" t="s">
        <v>977</v>
      </c>
      <c r="O398" s="79" t="s">
        <v>453</v>
      </c>
      <c r="P398" s="79" t="s">
        <v>453</v>
      </c>
      <c r="Q398" s="79" t="s">
        <v>453</v>
      </c>
    </row>
    <row r="399" spans="1:17" ht="26.4">
      <c r="A399" s="172">
        <f t="shared" si="6"/>
        <v>396</v>
      </c>
      <c r="B399" s="80" t="s">
        <v>990</v>
      </c>
      <c r="C399" s="80" t="s">
        <v>991</v>
      </c>
      <c r="F399" s="80" t="s">
        <v>976</v>
      </c>
      <c r="G399" s="80" t="s">
        <v>456</v>
      </c>
      <c r="H399" s="80">
        <v>0</v>
      </c>
      <c r="I399" s="80" t="s">
        <v>456</v>
      </c>
      <c r="J399" s="79">
        <v>4</v>
      </c>
      <c r="K399" s="79">
        <v>0</v>
      </c>
      <c r="L399" s="79">
        <v>0</v>
      </c>
      <c r="M399" s="79" t="s">
        <v>579</v>
      </c>
      <c r="N399" s="79" t="s">
        <v>452</v>
      </c>
      <c r="O399" s="79" t="s">
        <v>453</v>
      </c>
      <c r="P399" s="79" t="s">
        <v>453</v>
      </c>
      <c r="Q399" s="79" t="s">
        <v>453</v>
      </c>
    </row>
    <row r="400" spans="1:17">
      <c r="A400" s="172">
        <f t="shared" si="6"/>
        <v>397</v>
      </c>
      <c r="B400" s="80" t="s">
        <v>992</v>
      </c>
      <c r="C400" s="80" t="s">
        <v>993</v>
      </c>
      <c r="F400" s="80" t="s">
        <v>976</v>
      </c>
      <c r="G400" s="80" t="s">
        <v>456</v>
      </c>
      <c r="H400" s="80">
        <v>0</v>
      </c>
      <c r="I400" s="80" t="s">
        <v>456</v>
      </c>
      <c r="J400" s="79">
        <v>4</v>
      </c>
      <c r="K400" s="79">
        <v>0</v>
      </c>
      <c r="L400" s="79">
        <v>0</v>
      </c>
      <c r="M400" s="79" t="s">
        <v>579</v>
      </c>
      <c r="N400" s="79" t="s">
        <v>452</v>
      </c>
      <c r="O400" s="79" t="s">
        <v>453</v>
      </c>
      <c r="P400" s="79" t="s">
        <v>453</v>
      </c>
      <c r="Q400" s="79" t="s">
        <v>453</v>
      </c>
    </row>
    <row r="401" spans="1:17" ht="26.4">
      <c r="A401" s="172">
        <f t="shared" si="6"/>
        <v>398</v>
      </c>
      <c r="B401" s="80" t="s">
        <v>994</v>
      </c>
      <c r="C401" s="80" t="s">
        <v>995</v>
      </c>
      <c r="F401" s="80" t="s">
        <v>976</v>
      </c>
      <c r="G401" s="80" t="s">
        <v>996</v>
      </c>
      <c r="H401" s="80" t="s">
        <v>118</v>
      </c>
      <c r="I401" s="80" t="s">
        <v>450</v>
      </c>
      <c r="J401" s="79">
        <v>2</v>
      </c>
      <c r="K401" s="79">
        <v>0</v>
      </c>
      <c r="L401" s="79">
        <v>0</v>
      </c>
      <c r="M401" s="79" t="s">
        <v>451</v>
      </c>
      <c r="N401" s="79" t="s">
        <v>977</v>
      </c>
      <c r="O401" s="79" t="s">
        <v>453</v>
      </c>
      <c r="P401" s="79" t="s">
        <v>453</v>
      </c>
      <c r="Q401" s="79" t="s">
        <v>453</v>
      </c>
    </row>
    <row r="402" spans="1:17">
      <c r="A402" s="172">
        <f t="shared" si="6"/>
        <v>399</v>
      </c>
      <c r="B402" s="80" t="s">
        <v>997</v>
      </c>
      <c r="C402" s="80" t="s">
        <v>998</v>
      </c>
      <c r="F402" s="80" t="s">
        <v>976</v>
      </c>
      <c r="G402" s="80" t="s">
        <v>456</v>
      </c>
      <c r="H402" s="80">
        <v>0</v>
      </c>
      <c r="I402" s="80" t="s">
        <v>456</v>
      </c>
      <c r="J402" s="79">
        <v>12</v>
      </c>
      <c r="K402" s="79">
        <v>0</v>
      </c>
      <c r="L402" s="79">
        <v>0</v>
      </c>
      <c r="M402" s="79" t="s">
        <v>451</v>
      </c>
      <c r="N402" s="79" t="s">
        <v>977</v>
      </c>
      <c r="O402" s="79" t="s">
        <v>453</v>
      </c>
      <c r="P402" s="79" t="s">
        <v>453</v>
      </c>
      <c r="Q402" s="79" t="s">
        <v>453</v>
      </c>
    </row>
    <row r="403" spans="1:17" ht="26.4">
      <c r="A403" s="172">
        <f t="shared" si="6"/>
        <v>400</v>
      </c>
      <c r="B403" s="80" t="s">
        <v>999</v>
      </c>
      <c r="C403" s="80" t="s">
        <v>1000</v>
      </c>
      <c r="F403" s="80" t="s">
        <v>976</v>
      </c>
      <c r="G403" s="80" t="s">
        <v>468</v>
      </c>
      <c r="H403" s="80" t="s">
        <v>118</v>
      </c>
      <c r="I403" s="80" t="s">
        <v>450</v>
      </c>
      <c r="J403" s="79">
        <v>1</v>
      </c>
      <c r="K403" s="79">
        <v>0</v>
      </c>
      <c r="L403" s="79">
        <v>0</v>
      </c>
      <c r="M403" s="79" t="s">
        <v>451</v>
      </c>
      <c r="N403" s="79" t="s">
        <v>977</v>
      </c>
      <c r="O403" s="79" t="s">
        <v>453</v>
      </c>
      <c r="P403" s="79" t="s">
        <v>453</v>
      </c>
      <c r="Q403" s="79" t="s">
        <v>453</v>
      </c>
    </row>
    <row r="404" spans="1:17" ht="26.4">
      <c r="A404" s="172">
        <f t="shared" si="6"/>
        <v>401</v>
      </c>
      <c r="B404" s="80" t="s">
        <v>1001</v>
      </c>
      <c r="C404" s="80" t="s">
        <v>1002</v>
      </c>
      <c r="F404" s="80" t="s">
        <v>976</v>
      </c>
      <c r="G404" s="80" t="s">
        <v>468</v>
      </c>
      <c r="H404" s="80" t="s">
        <v>118</v>
      </c>
      <c r="I404" s="80" t="s">
        <v>450</v>
      </c>
      <c r="J404" s="79">
        <v>1</v>
      </c>
      <c r="K404" s="79">
        <v>0</v>
      </c>
      <c r="L404" s="79">
        <v>0</v>
      </c>
      <c r="M404" s="79" t="s">
        <v>451</v>
      </c>
      <c r="N404" s="79" t="s">
        <v>977</v>
      </c>
      <c r="O404" s="79" t="s">
        <v>453</v>
      </c>
      <c r="P404" s="79" t="s">
        <v>453</v>
      </c>
      <c r="Q404" s="79" t="s">
        <v>453</v>
      </c>
    </row>
    <row r="405" spans="1:17" ht="26.4">
      <c r="A405" s="172">
        <f t="shared" si="6"/>
        <v>402</v>
      </c>
      <c r="B405" s="80" t="s">
        <v>1003</v>
      </c>
      <c r="C405" s="80" t="s">
        <v>1004</v>
      </c>
      <c r="F405" s="80" t="s">
        <v>976</v>
      </c>
      <c r="G405" s="80" t="s">
        <v>468</v>
      </c>
      <c r="H405" s="80" t="s">
        <v>118</v>
      </c>
      <c r="I405" s="80" t="s">
        <v>450</v>
      </c>
      <c r="J405" s="79">
        <v>1</v>
      </c>
      <c r="K405" s="79">
        <v>0</v>
      </c>
      <c r="L405" s="79">
        <v>0</v>
      </c>
      <c r="M405" s="79" t="s">
        <v>451</v>
      </c>
      <c r="N405" s="79" t="s">
        <v>977</v>
      </c>
      <c r="O405" s="79" t="s">
        <v>453</v>
      </c>
      <c r="P405" s="79" t="s">
        <v>453</v>
      </c>
      <c r="Q405" s="79" t="s">
        <v>453</v>
      </c>
    </row>
    <row r="406" spans="1:17" ht="26.4">
      <c r="A406" s="172">
        <f t="shared" ref="A406:A469" si="7">A405+1</f>
        <v>403</v>
      </c>
      <c r="B406" s="80" t="s">
        <v>1005</v>
      </c>
      <c r="C406" s="80" t="s">
        <v>1006</v>
      </c>
      <c r="F406" s="80" t="s">
        <v>976</v>
      </c>
      <c r="G406" s="80" t="s">
        <v>468</v>
      </c>
      <c r="H406" s="80" t="s">
        <v>118</v>
      </c>
      <c r="I406" s="80" t="s">
        <v>450</v>
      </c>
      <c r="J406" s="79">
        <v>1</v>
      </c>
      <c r="K406" s="79">
        <v>0</v>
      </c>
      <c r="L406" s="79">
        <v>0</v>
      </c>
      <c r="M406" s="79" t="s">
        <v>451</v>
      </c>
      <c r="N406" s="79" t="s">
        <v>977</v>
      </c>
      <c r="O406" s="79" t="s">
        <v>453</v>
      </c>
      <c r="P406" s="79" t="s">
        <v>453</v>
      </c>
      <c r="Q406" s="79" t="s">
        <v>453</v>
      </c>
    </row>
    <row r="407" spans="1:17" ht="26.4">
      <c r="A407" s="172">
        <f t="shared" si="7"/>
        <v>404</v>
      </c>
      <c r="B407" s="80" t="s">
        <v>1007</v>
      </c>
      <c r="C407" s="80" t="s">
        <v>1008</v>
      </c>
      <c r="F407" s="80" t="s">
        <v>976</v>
      </c>
      <c r="G407" s="80" t="s">
        <v>468</v>
      </c>
      <c r="H407" s="80" t="s">
        <v>118</v>
      </c>
      <c r="I407" s="80" t="s">
        <v>450</v>
      </c>
      <c r="J407" s="79">
        <v>1</v>
      </c>
      <c r="K407" s="79">
        <v>0</v>
      </c>
      <c r="L407" s="79">
        <v>0</v>
      </c>
      <c r="M407" s="79" t="s">
        <v>451</v>
      </c>
      <c r="N407" s="79" t="s">
        <v>977</v>
      </c>
      <c r="O407" s="79" t="s">
        <v>453</v>
      </c>
      <c r="P407" s="79" t="s">
        <v>453</v>
      </c>
      <c r="Q407" s="79" t="s">
        <v>453</v>
      </c>
    </row>
    <row r="408" spans="1:17" ht="26.4">
      <c r="A408" s="172">
        <f t="shared" si="7"/>
        <v>405</v>
      </c>
      <c r="B408" s="80" t="s">
        <v>1009</v>
      </c>
      <c r="C408" s="80" t="s">
        <v>1010</v>
      </c>
      <c r="F408" s="80" t="s">
        <v>976</v>
      </c>
      <c r="G408" s="80" t="s">
        <v>468</v>
      </c>
      <c r="H408" s="80" t="s">
        <v>118</v>
      </c>
      <c r="I408" s="80" t="s">
        <v>450</v>
      </c>
      <c r="J408" s="79">
        <v>1</v>
      </c>
      <c r="K408" s="79">
        <v>0</v>
      </c>
      <c r="L408" s="79">
        <v>0</v>
      </c>
      <c r="M408" s="79" t="s">
        <v>451</v>
      </c>
      <c r="N408" s="79" t="s">
        <v>977</v>
      </c>
      <c r="O408" s="79" t="s">
        <v>453</v>
      </c>
      <c r="P408" s="79" t="s">
        <v>453</v>
      </c>
      <c r="Q408" s="79" t="s">
        <v>453</v>
      </c>
    </row>
    <row r="409" spans="1:17">
      <c r="A409" s="172">
        <f t="shared" si="7"/>
        <v>406</v>
      </c>
      <c r="B409" s="80" t="s">
        <v>1011</v>
      </c>
      <c r="C409" s="80" t="s">
        <v>1012</v>
      </c>
      <c r="F409" s="80" t="s">
        <v>976</v>
      </c>
      <c r="G409" s="80" t="s">
        <v>456</v>
      </c>
      <c r="H409" s="80" t="s">
        <v>449</v>
      </c>
      <c r="I409" s="80" t="s">
        <v>450</v>
      </c>
      <c r="J409" s="79">
        <v>3</v>
      </c>
      <c r="K409" s="79">
        <v>0</v>
      </c>
      <c r="L409" s="79">
        <v>0</v>
      </c>
      <c r="M409" s="79" t="s">
        <v>451</v>
      </c>
      <c r="N409" s="79" t="s">
        <v>977</v>
      </c>
      <c r="O409" s="79" t="s">
        <v>453</v>
      </c>
      <c r="P409" s="79" t="s">
        <v>453</v>
      </c>
      <c r="Q409" s="79" t="s">
        <v>453</v>
      </c>
    </row>
    <row r="410" spans="1:17">
      <c r="A410" s="172">
        <f t="shared" si="7"/>
        <v>407</v>
      </c>
      <c r="B410" s="80" t="s">
        <v>1013</v>
      </c>
      <c r="C410" s="80" t="s">
        <v>1014</v>
      </c>
      <c r="E410" s="116" t="s">
        <v>1015</v>
      </c>
      <c r="F410" s="80" t="s">
        <v>976</v>
      </c>
      <c r="G410" s="80" t="s">
        <v>456</v>
      </c>
      <c r="H410" s="80">
        <v>0</v>
      </c>
      <c r="I410" s="80" t="s">
        <v>456</v>
      </c>
      <c r="J410" s="79">
        <v>4</v>
      </c>
      <c r="K410" s="79">
        <v>0</v>
      </c>
      <c r="L410" s="79">
        <v>0</v>
      </c>
      <c r="M410" s="79" t="s">
        <v>451</v>
      </c>
      <c r="N410" s="79" t="s">
        <v>977</v>
      </c>
      <c r="O410" s="79" t="s">
        <v>453</v>
      </c>
      <c r="P410" s="79" t="s">
        <v>453</v>
      </c>
      <c r="Q410" s="79" t="s">
        <v>453</v>
      </c>
    </row>
    <row r="411" spans="1:17">
      <c r="A411" s="172">
        <f t="shared" si="7"/>
        <v>408</v>
      </c>
      <c r="B411" s="80" t="s">
        <v>1016</v>
      </c>
      <c r="C411" s="80" t="s">
        <v>1017</v>
      </c>
      <c r="F411" s="80" t="s">
        <v>976</v>
      </c>
      <c r="G411" s="80" t="s">
        <v>1018</v>
      </c>
      <c r="H411" s="80" t="s">
        <v>449</v>
      </c>
      <c r="I411" s="80" t="s">
        <v>450</v>
      </c>
      <c r="J411" s="79">
        <v>1</v>
      </c>
      <c r="K411" s="79">
        <v>0</v>
      </c>
      <c r="L411" s="79">
        <v>0</v>
      </c>
      <c r="M411" s="79" t="s">
        <v>451</v>
      </c>
      <c r="N411" s="79" t="s">
        <v>977</v>
      </c>
      <c r="O411" s="79" t="s">
        <v>453</v>
      </c>
      <c r="P411" s="79" t="s">
        <v>453</v>
      </c>
      <c r="Q411" s="79" t="s">
        <v>453</v>
      </c>
    </row>
    <row r="412" spans="1:17">
      <c r="A412" s="172">
        <f t="shared" si="7"/>
        <v>409</v>
      </c>
      <c r="B412" s="80" t="s">
        <v>1019</v>
      </c>
      <c r="C412" s="80" t="s">
        <v>1020</v>
      </c>
      <c r="F412" s="80" t="s">
        <v>976</v>
      </c>
      <c r="G412" s="80" t="s">
        <v>456</v>
      </c>
      <c r="H412" s="80" t="s">
        <v>449</v>
      </c>
      <c r="I412" s="80" t="s">
        <v>450</v>
      </c>
      <c r="J412" s="79">
        <v>3</v>
      </c>
      <c r="K412" s="79">
        <v>0</v>
      </c>
      <c r="L412" s="79">
        <v>0</v>
      </c>
      <c r="M412" s="79" t="s">
        <v>451</v>
      </c>
      <c r="N412" s="79" t="s">
        <v>977</v>
      </c>
      <c r="O412" s="79" t="s">
        <v>453</v>
      </c>
      <c r="P412" s="79" t="s">
        <v>453</v>
      </c>
      <c r="Q412" s="79" t="s">
        <v>453</v>
      </c>
    </row>
    <row r="413" spans="1:17">
      <c r="A413" s="172">
        <f t="shared" si="7"/>
        <v>410</v>
      </c>
      <c r="B413" s="80" t="s">
        <v>1021</v>
      </c>
      <c r="C413" s="80" t="s">
        <v>1022</v>
      </c>
      <c r="F413" s="80" t="s">
        <v>976</v>
      </c>
      <c r="G413" s="80" t="s">
        <v>456</v>
      </c>
      <c r="H413" s="80">
        <v>0</v>
      </c>
      <c r="I413" s="80" t="s">
        <v>456</v>
      </c>
      <c r="J413" s="79">
        <v>4</v>
      </c>
      <c r="K413" s="79">
        <v>0</v>
      </c>
      <c r="L413" s="79">
        <v>0</v>
      </c>
      <c r="M413" s="79" t="s">
        <v>451</v>
      </c>
      <c r="N413" s="79" t="s">
        <v>977</v>
      </c>
      <c r="O413" s="79" t="s">
        <v>453</v>
      </c>
      <c r="P413" s="79" t="s">
        <v>453</v>
      </c>
      <c r="Q413" s="79" t="s">
        <v>453</v>
      </c>
    </row>
    <row r="414" spans="1:17">
      <c r="A414" s="172">
        <f t="shared" si="7"/>
        <v>411</v>
      </c>
      <c r="B414" s="80" t="s">
        <v>1023</v>
      </c>
      <c r="C414" s="80" t="s">
        <v>1024</v>
      </c>
      <c r="F414" s="80" t="s">
        <v>976</v>
      </c>
      <c r="G414" s="80" t="s">
        <v>1018</v>
      </c>
      <c r="H414" s="80" t="s">
        <v>449</v>
      </c>
      <c r="I414" s="80" t="s">
        <v>450</v>
      </c>
      <c r="J414" s="79">
        <v>1</v>
      </c>
      <c r="K414" s="79">
        <v>0</v>
      </c>
      <c r="L414" s="79">
        <v>0</v>
      </c>
      <c r="M414" s="79" t="s">
        <v>451</v>
      </c>
      <c r="N414" s="79" t="s">
        <v>977</v>
      </c>
      <c r="O414" s="79" t="s">
        <v>453</v>
      </c>
      <c r="P414" s="79" t="s">
        <v>453</v>
      </c>
      <c r="Q414" s="79" t="s">
        <v>453</v>
      </c>
    </row>
    <row r="415" spans="1:17">
      <c r="A415" s="172">
        <f t="shared" si="7"/>
        <v>412</v>
      </c>
      <c r="B415" s="80" t="s">
        <v>1025</v>
      </c>
      <c r="C415" s="80" t="s">
        <v>1026</v>
      </c>
      <c r="F415" s="80" t="s">
        <v>976</v>
      </c>
      <c r="G415" s="80" t="s">
        <v>456</v>
      </c>
      <c r="H415" s="80">
        <v>0</v>
      </c>
      <c r="I415" s="80" t="s">
        <v>456</v>
      </c>
      <c r="J415" s="79">
        <v>12</v>
      </c>
      <c r="K415" s="79">
        <v>0</v>
      </c>
      <c r="L415" s="79">
        <v>0</v>
      </c>
      <c r="M415" s="79" t="s">
        <v>451</v>
      </c>
      <c r="N415" s="79" t="s">
        <v>977</v>
      </c>
      <c r="O415" s="79" t="s">
        <v>453</v>
      </c>
      <c r="P415" s="79" t="s">
        <v>453</v>
      </c>
      <c r="Q415" s="79" t="s">
        <v>453</v>
      </c>
    </row>
    <row r="416" spans="1:17">
      <c r="A416" s="172">
        <f t="shared" si="7"/>
        <v>413</v>
      </c>
      <c r="B416" s="80" t="s">
        <v>1027</v>
      </c>
      <c r="C416" s="80" t="s">
        <v>1028</v>
      </c>
      <c r="F416" s="80" t="s">
        <v>976</v>
      </c>
      <c r="G416" s="80" t="s">
        <v>459</v>
      </c>
      <c r="H416" s="80" t="s">
        <v>449</v>
      </c>
      <c r="I416" s="80" t="s">
        <v>450</v>
      </c>
      <c r="J416" s="79">
        <v>1</v>
      </c>
      <c r="K416" s="79">
        <v>0</v>
      </c>
      <c r="L416" s="79">
        <v>0</v>
      </c>
      <c r="M416" s="79" t="s">
        <v>451</v>
      </c>
      <c r="N416" s="79" t="s">
        <v>977</v>
      </c>
      <c r="O416" s="79" t="s">
        <v>453</v>
      </c>
      <c r="P416" s="79" t="s">
        <v>453</v>
      </c>
      <c r="Q416" s="79" t="s">
        <v>453</v>
      </c>
    </row>
    <row r="417" spans="1:17" ht="26.4">
      <c r="A417" s="172">
        <f t="shared" si="7"/>
        <v>414</v>
      </c>
      <c r="B417" s="80" t="s">
        <v>1029</v>
      </c>
      <c r="C417" s="80" t="s">
        <v>1030</v>
      </c>
      <c r="F417" s="80" t="s">
        <v>976</v>
      </c>
      <c r="G417" s="80" t="s">
        <v>456</v>
      </c>
      <c r="H417" s="80">
        <v>0</v>
      </c>
      <c r="I417" s="80" t="s">
        <v>456</v>
      </c>
      <c r="J417" s="79">
        <v>4</v>
      </c>
      <c r="K417" s="79">
        <v>0</v>
      </c>
      <c r="L417" s="79">
        <v>0</v>
      </c>
      <c r="M417" s="79" t="s">
        <v>451</v>
      </c>
      <c r="N417" s="79" t="s">
        <v>977</v>
      </c>
      <c r="O417" s="79" t="s">
        <v>453</v>
      </c>
      <c r="P417" s="79" t="s">
        <v>453</v>
      </c>
      <c r="Q417" s="79" t="s">
        <v>453</v>
      </c>
    </row>
    <row r="418" spans="1:17">
      <c r="A418" s="172">
        <f t="shared" si="7"/>
        <v>415</v>
      </c>
      <c r="B418" s="80" t="s">
        <v>1031</v>
      </c>
      <c r="C418" s="80" t="s">
        <v>1032</v>
      </c>
      <c r="F418" s="80" t="s">
        <v>976</v>
      </c>
      <c r="G418" s="80" t="s">
        <v>459</v>
      </c>
      <c r="H418" s="80" t="s">
        <v>449</v>
      </c>
      <c r="I418" s="80" t="s">
        <v>450</v>
      </c>
      <c r="J418" s="79">
        <v>3</v>
      </c>
      <c r="K418" s="79">
        <v>0</v>
      </c>
      <c r="L418" s="79">
        <v>10</v>
      </c>
      <c r="M418" s="79" t="s">
        <v>451</v>
      </c>
      <c r="N418" s="79" t="s">
        <v>977</v>
      </c>
      <c r="O418" s="79" t="s">
        <v>453</v>
      </c>
      <c r="P418" s="79" t="s">
        <v>453</v>
      </c>
      <c r="Q418" s="79" t="s">
        <v>453</v>
      </c>
    </row>
    <row r="419" spans="1:17">
      <c r="A419" s="172">
        <f t="shared" si="7"/>
        <v>416</v>
      </c>
      <c r="B419" s="80" t="s">
        <v>1033</v>
      </c>
      <c r="C419" s="80" t="s">
        <v>1034</v>
      </c>
      <c r="F419" s="80" t="s">
        <v>976</v>
      </c>
      <c r="G419" s="80" t="s">
        <v>456</v>
      </c>
      <c r="H419" s="80">
        <v>0</v>
      </c>
      <c r="I419" s="80" t="s">
        <v>456</v>
      </c>
      <c r="J419" s="79">
        <v>4</v>
      </c>
      <c r="K419" s="79">
        <v>0</v>
      </c>
      <c r="L419" s="79">
        <v>0</v>
      </c>
      <c r="M419" s="79" t="s">
        <v>579</v>
      </c>
      <c r="N419" s="79" t="s">
        <v>977</v>
      </c>
      <c r="O419" s="79" t="s">
        <v>453</v>
      </c>
      <c r="P419" s="79" t="s">
        <v>453</v>
      </c>
      <c r="Q419" s="79" t="s">
        <v>453</v>
      </c>
    </row>
    <row r="420" spans="1:17" ht="26.4">
      <c r="A420" s="172">
        <f t="shared" si="7"/>
        <v>417</v>
      </c>
      <c r="B420" s="80" t="s">
        <v>1035</v>
      </c>
      <c r="C420" s="80" t="s">
        <v>1036</v>
      </c>
      <c r="F420" s="80" t="s">
        <v>976</v>
      </c>
      <c r="G420" s="80" t="s">
        <v>468</v>
      </c>
      <c r="H420" s="80" t="s">
        <v>118</v>
      </c>
      <c r="I420" s="80" t="s">
        <v>450</v>
      </c>
      <c r="J420" s="79">
        <v>1</v>
      </c>
      <c r="K420" s="79">
        <v>0</v>
      </c>
      <c r="L420" s="79">
        <v>0</v>
      </c>
      <c r="M420" s="79" t="s">
        <v>451</v>
      </c>
      <c r="N420" s="79" t="s">
        <v>977</v>
      </c>
      <c r="O420" s="79" t="s">
        <v>453</v>
      </c>
      <c r="P420" s="79" t="s">
        <v>453</v>
      </c>
      <c r="Q420" s="79" t="s">
        <v>453</v>
      </c>
    </row>
    <row r="421" spans="1:17">
      <c r="A421" s="172">
        <f t="shared" si="7"/>
        <v>418</v>
      </c>
      <c r="B421" s="80" t="s">
        <v>1037</v>
      </c>
      <c r="C421" s="80" t="s">
        <v>1038</v>
      </c>
      <c r="F421" s="80" t="s">
        <v>976</v>
      </c>
      <c r="G421" s="80" t="s">
        <v>456</v>
      </c>
      <c r="H421" s="80">
        <v>0</v>
      </c>
      <c r="I421" s="80" t="s">
        <v>456</v>
      </c>
      <c r="J421" s="79">
        <v>12</v>
      </c>
      <c r="K421" s="79">
        <v>0</v>
      </c>
      <c r="L421" s="79">
        <v>0</v>
      </c>
      <c r="M421" s="79" t="s">
        <v>579</v>
      </c>
      <c r="N421" s="79" t="s">
        <v>977</v>
      </c>
      <c r="O421" s="79" t="s">
        <v>453</v>
      </c>
      <c r="P421" s="79" t="s">
        <v>453</v>
      </c>
      <c r="Q421" s="79" t="s">
        <v>453</v>
      </c>
    </row>
    <row r="422" spans="1:17" ht="35.1" customHeight="1">
      <c r="A422" s="172">
        <f t="shared" si="7"/>
        <v>419</v>
      </c>
      <c r="B422" s="80" t="s">
        <v>1039</v>
      </c>
      <c r="C422" s="80" t="s">
        <v>1040</v>
      </c>
      <c r="F422" s="80" t="s">
        <v>976</v>
      </c>
      <c r="G422" s="80" t="s">
        <v>456</v>
      </c>
      <c r="H422" s="80">
        <v>0</v>
      </c>
      <c r="I422" s="80" t="s">
        <v>456</v>
      </c>
      <c r="J422" s="79">
        <v>12</v>
      </c>
      <c r="K422" s="79">
        <v>0</v>
      </c>
      <c r="L422" s="79">
        <v>0</v>
      </c>
      <c r="M422" s="79" t="s">
        <v>579</v>
      </c>
      <c r="N422" s="79" t="s">
        <v>977</v>
      </c>
      <c r="O422" s="79" t="s">
        <v>453</v>
      </c>
      <c r="P422" s="79" t="s">
        <v>453</v>
      </c>
      <c r="Q422" s="79" t="s">
        <v>453</v>
      </c>
    </row>
    <row r="423" spans="1:17" ht="37.049999999999997" customHeight="1">
      <c r="A423" s="172">
        <f t="shared" si="7"/>
        <v>420</v>
      </c>
      <c r="B423" s="80" t="s">
        <v>1041</v>
      </c>
      <c r="C423" s="80" t="s">
        <v>1042</v>
      </c>
      <c r="F423" s="80" t="s">
        <v>976</v>
      </c>
      <c r="G423" s="80" t="s">
        <v>456</v>
      </c>
      <c r="H423" s="80">
        <v>0</v>
      </c>
      <c r="I423" s="80" t="s">
        <v>456</v>
      </c>
      <c r="J423" s="79">
        <v>4</v>
      </c>
      <c r="K423" s="79">
        <v>0</v>
      </c>
      <c r="L423" s="79">
        <v>0</v>
      </c>
      <c r="M423" s="79" t="s">
        <v>579</v>
      </c>
      <c r="N423" s="79" t="s">
        <v>977</v>
      </c>
      <c r="O423" s="79" t="s">
        <v>453</v>
      </c>
      <c r="P423" s="79" t="s">
        <v>453</v>
      </c>
      <c r="Q423" s="79" t="s">
        <v>453</v>
      </c>
    </row>
    <row r="424" spans="1:17">
      <c r="A424" s="172">
        <f t="shared" si="7"/>
        <v>421</v>
      </c>
      <c r="B424" s="80" t="s">
        <v>1043</v>
      </c>
      <c r="C424" s="80" t="s">
        <v>1044</v>
      </c>
      <c r="F424" s="80" t="s">
        <v>976</v>
      </c>
      <c r="G424" s="80" t="s">
        <v>456</v>
      </c>
      <c r="H424" s="80">
        <v>0</v>
      </c>
      <c r="I424" s="80" t="s">
        <v>456</v>
      </c>
      <c r="J424" s="79">
        <v>12</v>
      </c>
      <c r="K424" s="79">
        <v>0</v>
      </c>
      <c r="L424" s="79">
        <v>0</v>
      </c>
      <c r="M424" s="79" t="s">
        <v>579</v>
      </c>
      <c r="N424" s="79" t="s">
        <v>977</v>
      </c>
      <c r="O424" s="79" t="s">
        <v>453</v>
      </c>
      <c r="P424" s="79" t="s">
        <v>453</v>
      </c>
      <c r="Q424" s="79" t="s">
        <v>453</v>
      </c>
    </row>
    <row r="425" spans="1:17" ht="26.4">
      <c r="A425" s="172">
        <f t="shared" si="7"/>
        <v>422</v>
      </c>
      <c r="B425" s="80" t="s">
        <v>1045</v>
      </c>
      <c r="C425" s="80" t="s">
        <v>1046</v>
      </c>
      <c r="E425" s="116" t="s">
        <v>1047</v>
      </c>
      <c r="F425" s="80" t="s">
        <v>976</v>
      </c>
      <c r="G425" s="80" t="s">
        <v>456</v>
      </c>
      <c r="H425" s="80">
        <v>0</v>
      </c>
      <c r="I425" s="80" t="s">
        <v>456</v>
      </c>
      <c r="J425" s="79">
        <v>12</v>
      </c>
      <c r="K425" s="79">
        <v>0</v>
      </c>
      <c r="L425" s="79">
        <v>0</v>
      </c>
      <c r="M425" s="79" t="s">
        <v>579</v>
      </c>
      <c r="N425" s="79" t="s">
        <v>977</v>
      </c>
      <c r="O425" s="79" t="s">
        <v>453</v>
      </c>
      <c r="P425" s="79" t="s">
        <v>453</v>
      </c>
      <c r="Q425" s="79" t="s">
        <v>453</v>
      </c>
    </row>
    <row r="426" spans="1:17" ht="26.4">
      <c r="A426" s="172">
        <f t="shared" si="7"/>
        <v>423</v>
      </c>
      <c r="B426" s="80" t="s">
        <v>1048</v>
      </c>
      <c r="C426" s="80" t="s">
        <v>1049</v>
      </c>
      <c r="F426" s="80" t="s">
        <v>976</v>
      </c>
      <c r="G426" s="80" t="s">
        <v>456</v>
      </c>
      <c r="H426" s="80">
        <v>0</v>
      </c>
      <c r="I426" s="80" t="s">
        <v>456</v>
      </c>
      <c r="J426" s="79">
        <v>12</v>
      </c>
      <c r="K426" s="79">
        <v>0</v>
      </c>
      <c r="L426" s="79">
        <v>0</v>
      </c>
      <c r="M426" s="79" t="s">
        <v>579</v>
      </c>
      <c r="N426" s="79" t="s">
        <v>977</v>
      </c>
      <c r="O426" s="79" t="s">
        <v>453</v>
      </c>
      <c r="P426" s="79" t="s">
        <v>453</v>
      </c>
      <c r="Q426" s="79" t="s">
        <v>453</v>
      </c>
    </row>
    <row r="427" spans="1:17">
      <c r="A427" s="172">
        <f t="shared" si="7"/>
        <v>424</v>
      </c>
      <c r="B427" s="80" t="s">
        <v>1050</v>
      </c>
      <c r="C427" s="81" t="s">
        <v>1051</v>
      </c>
      <c r="D427" s="80" t="s">
        <v>1052</v>
      </c>
      <c r="E427" s="116" t="s">
        <v>1053</v>
      </c>
      <c r="F427" s="80" t="s">
        <v>503</v>
      </c>
      <c r="G427" s="80" t="s">
        <v>456</v>
      </c>
      <c r="H427" s="80">
        <v>0</v>
      </c>
      <c r="I427" s="80" t="s">
        <v>456</v>
      </c>
      <c r="J427" s="79">
        <v>10</v>
      </c>
      <c r="K427" s="79">
        <v>0</v>
      </c>
      <c r="L427" s="79">
        <v>0</v>
      </c>
      <c r="M427" s="79" t="s">
        <v>451</v>
      </c>
      <c r="N427" s="79" t="s">
        <v>452</v>
      </c>
      <c r="O427" s="79" t="s">
        <v>453</v>
      </c>
      <c r="P427" s="79" t="s">
        <v>453</v>
      </c>
      <c r="Q427" s="79" t="s">
        <v>453</v>
      </c>
    </row>
    <row r="428" spans="1:17" ht="26.4">
      <c r="A428" s="172">
        <f t="shared" si="7"/>
        <v>425</v>
      </c>
      <c r="B428" s="80" t="s">
        <v>1054</v>
      </c>
      <c r="C428" s="80" t="s">
        <v>1055</v>
      </c>
      <c r="F428" s="80" t="s">
        <v>976</v>
      </c>
      <c r="G428" s="80" t="s">
        <v>456</v>
      </c>
      <c r="H428" s="80">
        <v>0</v>
      </c>
      <c r="I428" s="80" t="s">
        <v>456</v>
      </c>
      <c r="J428" s="79">
        <v>4</v>
      </c>
      <c r="K428" s="79">
        <v>0</v>
      </c>
      <c r="L428" s="79">
        <v>0</v>
      </c>
      <c r="M428" s="79" t="s">
        <v>579</v>
      </c>
      <c r="N428" s="79" t="s">
        <v>977</v>
      </c>
      <c r="O428" s="79" t="s">
        <v>453</v>
      </c>
      <c r="P428" s="79" t="s">
        <v>453</v>
      </c>
      <c r="Q428" s="79" t="s">
        <v>453</v>
      </c>
    </row>
    <row r="429" spans="1:17" ht="26.4">
      <c r="A429" s="172">
        <f t="shared" si="7"/>
        <v>426</v>
      </c>
      <c r="B429" s="80" t="s">
        <v>1056</v>
      </c>
      <c r="C429" s="80" t="s">
        <v>1057</v>
      </c>
      <c r="F429" s="80" t="s">
        <v>976</v>
      </c>
      <c r="G429" s="80" t="s">
        <v>456</v>
      </c>
      <c r="H429" s="80">
        <v>0</v>
      </c>
      <c r="I429" s="80" t="s">
        <v>456</v>
      </c>
      <c r="J429" s="79">
        <v>4</v>
      </c>
      <c r="K429" s="79">
        <v>0</v>
      </c>
      <c r="L429" s="79">
        <v>0</v>
      </c>
      <c r="M429" s="79" t="s">
        <v>579</v>
      </c>
      <c r="N429" s="79" t="s">
        <v>977</v>
      </c>
      <c r="O429" s="79" t="s">
        <v>453</v>
      </c>
      <c r="P429" s="79" t="s">
        <v>453</v>
      </c>
      <c r="Q429" s="79" t="s">
        <v>453</v>
      </c>
    </row>
    <row r="430" spans="1:17" ht="26.4">
      <c r="A430" s="172">
        <f t="shared" si="7"/>
        <v>427</v>
      </c>
      <c r="B430" s="80" t="s">
        <v>1058</v>
      </c>
      <c r="C430" s="80" t="s">
        <v>1059</v>
      </c>
      <c r="F430" s="80" t="s">
        <v>976</v>
      </c>
      <c r="G430" s="80" t="s">
        <v>456</v>
      </c>
      <c r="H430" s="80">
        <v>0</v>
      </c>
      <c r="I430" s="80" t="s">
        <v>456</v>
      </c>
      <c r="J430" s="79">
        <v>4</v>
      </c>
      <c r="K430" s="79">
        <v>0</v>
      </c>
      <c r="L430" s="79">
        <v>0</v>
      </c>
      <c r="M430" s="79" t="s">
        <v>579</v>
      </c>
      <c r="N430" s="79" t="s">
        <v>977</v>
      </c>
      <c r="O430" s="79" t="s">
        <v>453</v>
      </c>
      <c r="P430" s="79" t="s">
        <v>453</v>
      </c>
      <c r="Q430" s="79" t="s">
        <v>453</v>
      </c>
    </row>
    <row r="431" spans="1:17" ht="26.4">
      <c r="A431" s="172">
        <f t="shared" si="7"/>
        <v>428</v>
      </c>
      <c r="B431" s="80" t="s">
        <v>1060</v>
      </c>
      <c r="C431" s="80" t="s">
        <v>1061</v>
      </c>
      <c r="F431" s="80" t="s">
        <v>976</v>
      </c>
      <c r="G431" s="80" t="s">
        <v>456</v>
      </c>
      <c r="H431" s="80">
        <v>0</v>
      </c>
      <c r="I431" s="80" t="s">
        <v>456</v>
      </c>
      <c r="J431" s="79">
        <v>12</v>
      </c>
      <c r="K431" s="79">
        <v>0</v>
      </c>
      <c r="L431" s="79">
        <v>0</v>
      </c>
      <c r="M431" s="79" t="s">
        <v>579</v>
      </c>
      <c r="N431" s="79" t="s">
        <v>977</v>
      </c>
      <c r="O431" s="79" t="s">
        <v>453</v>
      </c>
      <c r="P431" s="79" t="s">
        <v>453</v>
      </c>
      <c r="Q431" s="79" t="s">
        <v>453</v>
      </c>
    </row>
    <row r="432" spans="1:17" ht="26.4">
      <c r="A432" s="172">
        <f t="shared" si="7"/>
        <v>429</v>
      </c>
      <c r="B432" s="80" t="s">
        <v>1062</v>
      </c>
      <c r="C432" s="80" t="s">
        <v>1063</v>
      </c>
      <c r="F432" s="80" t="s">
        <v>976</v>
      </c>
      <c r="G432" s="80" t="s">
        <v>456</v>
      </c>
      <c r="H432" s="80">
        <v>0</v>
      </c>
      <c r="I432" s="80" t="s">
        <v>456</v>
      </c>
      <c r="J432" s="79">
        <v>12</v>
      </c>
      <c r="K432" s="79">
        <v>0</v>
      </c>
      <c r="L432" s="79">
        <v>0</v>
      </c>
      <c r="M432" s="79" t="s">
        <v>579</v>
      </c>
      <c r="N432" s="79" t="s">
        <v>977</v>
      </c>
      <c r="O432" s="79" t="s">
        <v>453</v>
      </c>
      <c r="P432" s="79" t="s">
        <v>453</v>
      </c>
      <c r="Q432" s="79" t="s">
        <v>453</v>
      </c>
    </row>
    <row r="433" spans="1:17" ht="26.4">
      <c r="A433" s="172">
        <f t="shared" si="7"/>
        <v>430</v>
      </c>
      <c r="B433" s="80" t="s">
        <v>1064</v>
      </c>
      <c r="C433" s="80" t="s">
        <v>1065</v>
      </c>
      <c r="F433" s="80" t="s">
        <v>976</v>
      </c>
      <c r="G433" s="80" t="s">
        <v>456</v>
      </c>
      <c r="H433" s="80">
        <v>0</v>
      </c>
      <c r="I433" s="80" t="s">
        <v>456</v>
      </c>
      <c r="J433" s="79">
        <v>12</v>
      </c>
      <c r="K433" s="79">
        <v>0</v>
      </c>
      <c r="L433" s="79">
        <v>0</v>
      </c>
      <c r="M433" s="79" t="s">
        <v>579</v>
      </c>
      <c r="N433" s="79" t="s">
        <v>977</v>
      </c>
      <c r="O433" s="79" t="s">
        <v>453</v>
      </c>
      <c r="P433" s="79" t="s">
        <v>453</v>
      </c>
      <c r="Q433" s="79" t="s">
        <v>453</v>
      </c>
    </row>
    <row r="434" spans="1:17" ht="26.4">
      <c r="A434" s="172">
        <f t="shared" si="7"/>
        <v>431</v>
      </c>
      <c r="B434" s="80" t="s">
        <v>1066</v>
      </c>
      <c r="C434" s="80" t="s">
        <v>1067</v>
      </c>
      <c r="F434" s="80" t="s">
        <v>976</v>
      </c>
      <c r="G434" s="80" t="s">
        <v>456</v>
      </c>
      <c r="H434" s="80">
        <v>0</v>
      </c>
      <c r="I434" s="80" t="s">
        <v>456</v>
      </c>
      <c r="J434" s="79">
        <v>12</v>
      </c>
      <c r="K434" s="79">
        <v>0</v>
      </c>
      <c r="L434" s="79">
        <v>0</v>
      </c>
      <c r="M434" s="79" t="s">
        <v>579</v>
      </c>
      <c r="N434" s="79" t="s">
        <v>977</v>
      </c>
      <c r="O434" s="79" t="s">
        <v>453</v>
      </c>
      <c r="P434" s="79" t="s">
        <v>453</v>
      </c>
      <c r="Q434" s="79" t="s">
        <v>453</v>
      </c>
    </row>
    <row r="435" spans="1:17" ht="26.4">
      <c r="A435" s="172">
        <f t="shared" si="7"/>
        <v>432</v>
      </c>
      <c r="B435" s="80" t="s">
        <v>1068</v>
      </c>
      <c r="C435" s="80" t="s">
        <v>1069</v>
      </c>
      <c r="F435" s="80" t="s">
        <v>976</v>
      </c>
      <c r="H435" s="80">
        <v>0</v>
      </c>
      <c r="I435" s="80" t="s">
        <v>450</v>
      </c>
      <c r="J435" s="79">
        <v>4</v>
      </c>
      <c r="K435" s="79">
        <v>0</v>
      </c>
      <c r="L435" s="79">
        <v>0</v>
      </c>
      <c r="M435" s="79" t="s">
        <v>579</v>
      </c>
      <c r="N435" s="79" t="s">
        <v>977</v>
      </c>
      <c r="O435" s="79" t="s">
        <v>453</v>
      </c>
      <c r="P435" s="79" t="s">
        <v>453</v>
      </c>
      <c r="Q435" s="79" t="s">
        <v>453</v>
      </c>
    </row>
    <row r="436" spans="1:17" ht="26.4">
      <c r="A436" s="172">
        <f t="shared" si="7"/>
        <v>433</v>
      </c>
      <c r="B436" s="80" t="s">
        <v>1070</v>
      </c>
      <c r="C436" s="80" t="s">
        <v>1071</v>
      </c>
      <c r="F436" s="80" t="s">
        <v>976</v>
      </c>
      <c r="H436" s="80">
        <v>0</v>
      </c>
      <c r="I436" s="80" t="s">
        <v>450</v>
      </c>
      <c r="J436" s="79">
        <v>4</v>
      </c>
      <c r="K436" s="79">
        <v>0</v>
      </c>
      <c r="L436" s="79">
        <v>0</v>
      </c>
      <c r="M436" s="79" t="s">
        <v>579</v>
      </c>
      <c r="N436" s="79" t="s">
        <v>977</v>
      </c>
      <c r="O436" s="79" t="s">
        <v>453</v>
      </c>
      <c r="P436" s="79" t="s">
        <v>453</v>
      </c>
      <c r="Q436" s="79" t="s">
        <v>453</v>
      </c>
    </row>
    <row r="437" spans="1:17" ht="26.4">
      <c r="A437" s="172">
        <f t="shared" si="7"/>
        <v>434</v>
      </c>
      <c r="B437" s="80" t="s">
        <v>1072</v>
      </c>
      <c r="C437" s="80" t="s">
        <v>1073</v>
      </c>
      <c r="F437" s="80" t="s">
        <v>976</v>
      </c>
      <c r="G437" s="80" t="s">
        <v>456</v>
      </c>
      <c r="H437" s="80">
        <v>0</v>
      </c>
      <c r="I437" s="80" t="s">
        <v>456</v>
      </c>
      <c r="J437" s="79">
        <v>12</v>
      </c>
      <c r="K437" s="79">
        <v>0</v>
      </c>
      <c r="L437" s="79">
        <v>0</v>
      </c>
      <c r="M437" s="79" t="s">
        <v>451</v>
      </c>
      <c r="N437" s="79" t="s">
        <v>977</v>
      </c>
      <c r="O437" s="79" t="s">
        <v>453</v>
      </c>
      <c r="P437" s="79" t="s">
        <v>453</v>
      </c>
      <c r="Q437" s="79" t="s">
        <v>453</v>
      </c>
    </row>
    <row r="438" spans="1:17" ht="26.4">
      <c r="A438" s="172">
        <f t="shared" si="7"/>
        <v>435</v>
      </c>
      <c r="B438" s="80" t="s">
        <v>1074</v>
      </c>
      <c r="C438" s="80" t="s">
        <v>1075</v>
      </c>
      <c r="F438" s="80" t="s">
        <v>976</v>
      </c>
      <c r="G438" s="80" t="s">
        <v>456</v>
      </c>
      <c r="H438" s="80">
        <v>0</v>
      </c>
      <c r="I438" s="80" t="s">
        <v>456</v>
      </c>
      <c r="J438" s="79">
        <v>12</v>
      </c>
      <c r="K438" s="79">
        <v>0</v>
      </c>
      <c r="L438" s="79">
        <v>0</v>
      </c>
      <c r="M438" s="79" t="s">
        <v>451</v>
      </c>
      <c r="N438" s="79" t="s">
        <v>977</v>
      </c>
      <c r="O438" s="79" t="s">
        <v>453</v>
      </c>
      <c r="P438" s="79" t="s">
        <v>453</v>
      </c>
      <c r="Q438" s="79" t="s">
        <v>453</v>
      </c>
    </row>
    <row r="439" spans="1:17" ht="26.4">
      <c r="A439" s="172">
        <f t="shared" si="7"/>
        <v>436</v>
      </c>
      <c r="B439" s="80" t="s">
        <v>1076</v>
      </c>
      <c r="C439" s="80" t="s">
        <v>1077</v>
      </c>
      <c r="F439" s="80" t="s">
        <v>976</v>
      </c>
      <c r="G439" s="80" t="s">
        <v>456</v>
      </c>
      <c r="H439" s="80">
        <v>0</v>
      </c>
      <c r="I439" s="80" t="s">
        <v>456</v>
      </c>
      <c r="J439" s="79">
        <v>12</v>
      </c>
      <c r="K439" s="79">
        <v>0</v>
      </c>
      <c r="L439" s="79">
        <v>0</v>
      </c>
      <c r="M439" s="79" t="s">
        <v>451</v>
      </c>
      <c r="N439" s="79" t="s">
        <v>977</v>
      </c>
      <c r="O439" s="79" t="s">
        <v>453</v>
      </c>
      <c r="P439" s="79" t="s">
        <v>453</v>
      </c>
      <c r="Q439" s="79" t="s">
        <v>453</v>
      </c>
    </row>
    <row r="440" spans="1:17" ht="26.4">
      <c r="A440" s="172">
        <f t="shared" si="7"/>
        <v>437</v>
      </c>
      <c r="B440" s="80" t="s">
        <v>1078</v>
      </c>
      <c r="C440" s="80" t="s">
        <v>1079</v>
      </c>
      <c r="F440" s="80" t="s">
        <v>976</v>
      </c>
      <c r="G440" s="80" t="s">
        <v>456</v>
      </c>
      <c r="H440" s="80">
        <v>0</v>
      </c>
      <c r="I440" s="80" t="s">
        <v>456</v>
      </c>
      <c r="J440" s="79">
        <v>4</v>
      </c>
      <c r="K440" s="79">
        <v>0</v>
      </c>
      <c r="L440" s="79">
        <v>0</v>
      </c>
      <c r="M440" s="79" t="s">
        <v>579</v>
      </c>
      <c r="N440" s="79" t="s">
        <v>977</v>
      </c>
      <c r="O440" s="79" t="s">
        <v>453</v>
      </c>
      <c r="P440" s="79" t="s">
        <v>453</v>
      </c>
      <c r="Q440" s="79" t="s">
        <v>453</v>
      </c>
    </row>
    <row r="441" spans="1:17">
      <c r="A441" s="172">
        <f t="shared" si="7"/>
        <v>438</v>
      </c>
      <c r="B441" s="80" t="s">
        <v>1080</v>
      </c>
      <c r="C441" s="80" t="s">
        <v>1081</v>
      </c>
      <c r="D441" s="80" t="s">
        <v>1082</v>
      </c>
      <c r="E441" s="116" t="s">
        <v>1083</v>
      </c>
      <c r="F441" s="80" t="s">
        <v>503</v>
      </c>
      <c r="H441" s="80" t="s">
        <v>449</v>
      </c>
      <c r="I441" s="80" t="s">
        <v>450</v>
      </c>
      <c r="J441" s="79">
        <v>2</v>
      </c>
      <c r="K441" s="79">
        <v>0</v>
      </c>
      <c r="L441" s="79">
        <v>0</v>
      </c>
      <c r="M441" s="79" t="s">
        <v>451</v>
      </c>
      <c r="N441" s="79" t="s">
        <v>452</v>
      </c>
      <c r="O441" s="79" t="s">
        <v>453</v>
      </c>
      <c r="P441" s="79" t="s">
        <v>453</v>
      </c>
      <c r="Q441" s="79" t="s">
        <v>453</v>
      </c>
    </row>
    <row r="442" spans="1:17" ht="26.4">
      <c r="A442" s="172">
        <f t="shared" si="7"/>
        <v>439</v>
      </c>
      <c r="B442" s="80" t="s">
        <v>1084</v>
      </c>
      <c r="C442" s="80" t="s">
        <v>1085</v>
      </c>
      <c r="F442" s="80" t="s">
        <v>976</v>
      </c>
      <c r="G442" s="80" t="s">
        <v>456</v>
      </c>
      <c r="H442" s="80">
        <v>0</v>
      </c>
      <c r="I442" s="80" t="s">
        <v>456</v>
      </c>
      <c r="J442" s="79">
        <v>4</v>
      </c>
      <c r="K442" s="79">
        <v>0</v>
      </c>
      <c r="L442" s="79">
        <v>0</v>
      </c>
      <c r="M442" s="79" t="s">
        <v>579</v>
      </c>
      <c r="N442" s="79" t="s">
        <v>977</v>
      </c>
      <c r="O442" s="79" t="s">
        <v>453</v>
      </c>
      <c r="P442" s="79" t="s">
        <v>453</v>
      </c>
      <c r="Q442" s="79" t="s">
        <v>453</v>
      </c>
    </row>
    <row r="443" spans="1:17" ht="26.4">
      <c r="A443" s="172">
        <f t="shared" si="7"/>
        <v>440</v>
      </c>
      <c r="B443" s="80" t="s">
        <v>1086</v>
      </c>
      <c r="C443" s="80" t="s">
        <v>1087</v>
      </c>
      <c r="F443" s="80" t="s">
        <v>976</v>
      </c>
      <c r="G443" s="80" t="s">
        <v>456</v>
      </c>
      <c r="H443" s="80">
        <v>0</v>
      </c>
      <c r="I443" s="80" t="s">
        <v>456</v>
      </c>
      <c r="J443" s="79">
        <v>4</v>
      </c>
      <c r="K443" s="79">
        <v>0</v>
      </c>
      <c r="L443" s="79">
        <v>0</v>
      </c>
      <c r="M443" s="79" t="s">
        <v>579</v>
      </c>
      <c r="N443" s="79" t="s">
        <v>977</v>
      </c>
      <c r="O443" s="79" t="s">
        <v>453</v>
      </c>
      <c r="P443" s="79" t="s">
        <v>453</v>
      </c>
      <c r="Q443" s="79" t="s">
        <v>453</v>
      </c>
    </row>
    <row r="444" spans="1:17" ht="26.4">
      <c r="A444" s="172">
        <f t="shared" si="7"/>
        <v>441</v>
      </c>
      <c r="B444" s="80" t="s">
        <v>1088</v>
      </c>
      <c r="C444" s="80" t="s">
        <v>1089</v>
      </c>
      <c r="F444" s="80" t="s">
        <v>976</v>
      </c>
      <c r="G444" s="80" t="s">
        <v>456</v>
      </c>
      <c r="H444" s="80">
        <v>0</v>
      </c>
      <c r="I444" s="80" t="s">
        <v>456</v>
      </c>
      <c r="J444" s="79">
        <v>4</v>
      </c>
      <c r="K444" s="79">
        <v>0</v>
      </c>
      <c r="L444" s="79">
        <v>0</v>
      </c>
      <c r="M444" s="79" t="s">
        <v>579</v>
      </c>
      <c r="N444" s="79" t="s">
        <v>977</v>
      </c>
      <c r="O444" s="79" t="s">
        <v>453</v>
      </c>
      <c r="P444" s="79" t="s">
        <v>453</v>
      </c>
      <c r="Q444" s="79" t="s">
        <v>453</v>
      </c>
    </row>
    <row r="445" spans="1:17">
      <c r="A445" s="172">
        <f t="shared" si="7"/>
        <v>442</v>
      </c>
      <c r="B445" s="80" t="s">
        <v>1090</v>
      </c>
      <c r="C445" s="80" t="s">
        <v>1091</v>
      </c>
      <c r="F445" s="80" t="s">
        <v>976</v>
      </c>
      <c r="G445" s="80" t="s">
        <v>456</v>
      </c>
      <c r="H445" s="80">
        <v>0</v>
      </c>
      <c r="I445" s="80" t="s">
        <v>456</v>
      </c>
      <c r="J445" s="79">
        <v>4</v>
      </c>
      <c r="K445" s="79">
        <v>0</v>
      </c>
      <c r="L445" s="79">
        <v>0</v>
      </c>
      <c r="M445" s="79" t="s">
        <v>579</v>
      </c>
      <c r="N445" s="79" t="s">
        <v>977</v>
      </c>
      <c r="O445" s="79" t="s">
        <v>453</v>
      </c>
      <c r="P445" s="79" t="s">
        <v>453</v>
      </c>
      <c r="Q445" s="79" t="s">
        <v>453</v>
      </c>
    </row>
    <row r="446" spans="1:17">
      <c r="A446" s="172">
        <f t="shared" si="7"/>
        <v>443</v>
      </c>
      <c r="B446" s="80" t="s">
        <v>1092</v>
      </c>
      <c r="C446" s="80" t="s">
        <v>1093</v>
      </c>
      <c r="F446" s="80" t="s">
        <v>976</v>
      </c>
      <c r="G446" s="80" t="s">
        <v>456</v>
      </c>
      <c r="H446" s="80">
        <v>0</v>
      </c>
      <c r="I446" s="80" t="s">
        <v>456</v>
      </c>
      <c r="J446" s="79">
        <v>4</v>
      </c>
      <c r="K446" s="79">
        <v>0</v>
      </c>
      <c r="L446" s="79">
        <v>0</v>
      </c>
      <c r="M446" s="79" t="s">
        <v>579</v>
      </c>
      <c r="N446" s="79" t="s">
        <v>977</v>
      </c>
      <c r="O446" s="79" t="s">
        <v>453</v>
      </c>
      <c r="P446" s="79" t="s">
        <v>453</v>
      </c>
      <c r="Q446" s="79" t="s">
        <v>453</v>
      </c>
    </row>
    <row r="447" spans="1:17" ht="26.4">
      <c r="A447" s="172">
        <f t="shared" si="7"/>
        <v>444</v>
      </c>
      <c r="B447" s="80" t="s">
        <v>1094</v>
      </c>
      <c r="C447" s="80" t="s">
        <v>1095</v>
      </c>
      <c r="F447" s="80" t="s">
        <v>976</v>
      </c>
      <c r="G447" s="80" t="s">
        <v>456</v>
      </c>
      <c r="H447" s="80">
        <v>0</v>
      </c>
      <c r="I447" s="80" t="s">
        <v>456</v>
      </c>
      <c r="J447" s="79">
        <v>4</v>
      </c>
      <c r="K447" s="79">
        <v>0</v>
      </c>
      <c r="L447" s="79">
        <v>0</v>
      </c>
      <c r="M447" s="79" t="s">
        <v>579</v>
      </c>
      <c r="N447" s="79" t="s">
        <v>977</v>
      </c>
      <c r="O447" s="79" t="s">
        <v>453</v>
      </c>
      <c r="P447" s="79" t="s">
        <v>453</v>
      </c>
      <c r="Q447" s="79" t="s">
        <v>453</v>
      </c>
    </row>
    <row r="448" spans="1:17" ht="26.4">
      <c r="A448" s="172">
        <f t="shared" si="7"/>
        <v>445</v>
      </c>
      <c r="B448" s="80" t="s">
        <v>1096</v>
      </c>
      <c r="C448" s="80" t="s">
        <v>1097</v>
      </c>
      <c r="F448" s="80" t="s">
        <v>976</v>
      </c>
      <c r="G448" s="80" t="s">
        <v>456</v>
      </c>
      <c r="H448" s="80">
        <v>0</v>
      </c>
      <c r="I448" s="80" t="s">
        <v>456</v>
      </c>
      <c r="J448" s="79">
        <v>12</v>
      </c>
      <c r="K448" s="79">
        <v>0</v>
      </c>
      <c r="L448" s="79">
        <v>0</v>
      </c>
      <c r="M448" s="79" t="s">
        <v>579</v>
      </c>
      <c r="N448" s="79" t="s">
        <v>977</v>
      </c>
      <c r="O448" s="79" t="s">
        <v>453</v>
      </c>
      <c r="P448" s="79" t="s">
        <v>453</v>
      </c>
      <c r="Q448" s="79" t="s">
        <v>453</v>
      </c>
    </row>
    <row r="449" spans="1:17">
      <c r="A449" s="172">
        <f t="shared" si="7"/>
        <v>446</v>
      </c>
      <c r="B449" s="80" t="s">
        <v>1098</v>
      </c>
      <c r="C449" s="80" t="s">
        <v>1099</v>
      </c>
      <c r="F449" s="80" t="s">
        <v>976</v>
      </c>
      <c r="G449" s="80" t="s">
        <v>456</v>
      </c>
      <c r="H449" s="80">
        <v>0</v>
      </c>
      <c r="I449" s="80" t="s">
        <v>456</v>
      </c>
      <c r="J449" s="79">
        <v>4</v>
      </c>
      <c r="K449" s="79">
        <v>0</v>
      </c>
      <c r="L449" s="79">
        <v>0</v>
      </c>
      <c r="M449" s="79" t="s">
        <v>579</v>
      </c>
      <c r="N449" s="79" t="s">
        <v>977</v>
      </c>
      <c r="O449" s="79" t="s">
        <v>453</v>
      </c>
      <c r="P449" s="79" t="s">
        <v>453</v>
      </c>
      <c r="Q449" s="79" t="s">
        <v>453</v>
      </c>
    </row>
    <row r="450" spans="1:17" ht="26.4">
      <c r="A450" s="172">
        <f t="shared" si="7"/>
        <v>447</v>
      </c>
      <c r="B450" s="80" t="s">
        <v>1100</v>
      </c>
      <c r="C450" s="80" t="s">
        <v>1101</v>
      </c>
      <c r="F450" s="80" t="s">
        <v>976</v>
      </c>
      <c r="G450" s="80" t="s">
        <v>456</v>
      </c>
      <c r="H450" s="80">
        <v>0</v>
      </c>
      <c r="I450" s="80" t="s">
        <v>456</v>
      </c>
      <c r="J450" s="79">
        <v>4</v>
      </c>
      <c r="K450" s="79">
        <v>0</v>
      </c>
      <c r="L450" s="79">
        <v>0</v>
      </c>
      <c r="M450" s="79" t="s">
        <v>579</v>
      </c>
      <c r="N450" s="79" t="s">
        <v>977</v>
      </c>
      <c r="O450" s="79" t="s">
        <v>453</v>
      </c>
      <c r="P450" s="79" t="s">
        <v>453</v>
      </c>
      <c r="Q450" s="79" t="s">
        <v>453</v>
      </c>
    </row>
    <row r="451" spans="1:17" ht="26.4">
      <c r="A451" s="172">
        <f t="shared" si="7"/>
        <v>448</v>
      </c>
      <c r="B451" s="80" t="s">
        <v>1102</v>
      </c>
      <c r="C451" s="80" t="s">
        <v>1103</v>
      </c>
      <c r="F451" s="80" t="s">
        <v>976</v>
      </c>
      <c r="G451" s="80" t="s">
        <v>456</v>
      </c>
      <c r="H451" s="80">
        <v>0</v>
      </c>
      <c r="I451" s="80" t="s">
        <v>456</v>
      </c>
      <c r="J451" s="79">
        <v>12</v>
      </c>
      <c r="K451" s="79">
        <v>0</v>
      </c>
      <c r="L451" s="79">
        <v>0</v>
      </c>
      <c r="M451" s="79" t="s">
        <v>579</v>
      </c>
      <c r="N451" s="79" t="s">
        <v>977</v>
      </c>
      <c r="O451" s="79" t="s">
        <v>453</v>
      </c>
      <c r="P451" s="79" t="s">
        <v>453</v>
      </c>
      <c r="Q451" s="79" t="s">
        <v>453</v>
      </c>
    </row>
    <row r="452" spans="1:17" ht="26.4">
      <c r="A452" s="172">
        <f t="shared" si="7"/>
        <v>449</v>
      </c>
      <c r="B452" s="80" t="s">
        <v>1104</v>
      </c>
      <c r="C452" s="80" t="s">
        <v>1105</v>
      </c>
      <c r="F452" s="80" t="s">
        <v>976</v>
      </c>
      <c r="G452" s="80" t="s">
        <v>456</v>
      </c>
      <c r="H452" s="80">
        <v>0</v>
      </c>
      <c r="I452" s="80" t="s">
        <v>456</v>
      </c>
      <c r="J452" s="79">
        <v>4</v>
      </c>
      <c r="K452" s="79">
        <v>0</v>
      </c>
      <c r="L452" s="79">
        <v>0</v>
      </c>
      <c r="M452" s="79" t="s">
        <v>579</v>
      </c>
      <c r="N452" s="79" t="s">
        <v>977</v>
      </c>
      <c r="O452" s="79" t="s">
        <v>453</v>
      </c>
      <c r="P452" s="79" t="s">
        <v>453</v>
      </c>
      <c r="Q452" s="79" t="s">
        <v>453</v>
      </c>
    </row>
    <row r="453" spans="1:17" ht="26.4">
      <c r="A453" s="172">
        <f t="shared" si="7"/>
        <v>450</v>
      </c>
      <c r="B453" s="80" t="s">
        <v>1106</v>
      </c>
      <c r="C453" s="80" t="s">
        <v>1107</v>
      </c>
      <c r="F453" s="80" t="s">
        <v>976</v>
      </c>
      <c r="G453" s="80" t="s">
        <v>456</v>
      </c>
      <c r="H453" s="80">
        <v>0</v>
      </c>
      <c r="I453" s="80" t="s">
        <v>456</v>
      </c>
      <c r="J453" s="79">
        <v>12</v>
      </c>
      <c r="K453" s="79">
        <v>0</v>
      </c>
      <c r="L453" s="79">
        <v>0</v>
      </c>
      <c r="M453" s="79" t="s">
        <v>579</v>
      </c>
      <c r="N453" s="79" t="s">
        <v>977</v>
      </c>
      <c r="O453" s="79" t="s">
        <v>453</v>
      </c>
      <c r="P453" s="79" t="s">
        <v>453</v>
      </c>
      <c r="Q453" s="79" t="s">
        <v>453</v>
      </c>
    </row>
    <row r="454" spans="1:17" ht="26.4">
      <c r="A454" s="172">
        <f t="shared" si="7"/>
        <v>451</v>
      </c>
      <c r="B454" s="80" t="s">
        <v>1108</v>
      </c>
      <c r="C454" s="80" t="s">
        <v>1109</v>
      </c>
      <c r="F454" s="80" t="s">
        <v>976</v>
      </c>
      <c r="G454" s="80" t="s">
        <v>456</v>
      </c>
      <c r="H454" s="80">
        <v>0</v>
      </c>
      <c r="I454" s="80" t="s">
        <v>456</v>
      </c>
      <c r="J454" s="79">
        <v>4</v>
      </c>
      <c r="K454" s="79">
        <v>0</v>
      </c>
      <c r="L454" s="79">
        <v>0</v>
      </c>
      <c r="M454" s="79" t="s">
        <v>579</v>
      </c>
      <c r="N454" s="79" t="s">
        <v>977</v>
      </c>
      <c r="O454" s="79" t="s">
        <v>453</v>
      </c>
      <c r="P454" s="79" t="s">
        <v>453</v>
      </c>
      <c r="Q454" s="79" t="s">
        <v>453</v>
      </c>
    </row>
    <row r="455" spans="1:17" ht="26.4">
      <c r="A455" s="172">
        <f t="shared" si="7"/>
        <v>452</v>
      </c>
      <c r="B455" s="80" t="s">
        <v>1110</v>
      </c>
      <c r="C455" s="80" t="s">
        <v>1111</v>
      </c>
      <c r="F455" s="80" t="s">
        <v>976</v>
      </c>
      <c r="G455" s="80" t="s">
        <v>456</v>
      </c>
      <c r="H455" s="80">
        <v>0</v>
      </c>
      <c r="I455" s="80" t="s">
        <v>456</v>
      </c>
      <c r="J455" s="79">
        <v>4</v>
      </c>
      <c r="K455" s="79">
        <v>0</v>
      </c>
      <c r="L455" s="79">
        <v>0</v>
      </c>
      <c r="M455" s="79" t="s">
        <v>579</v>
      </c>
      <c r="N455" s="79" t="s">
        <v>977</v>
      </c>
      <c r="O455" s="79" t="s">
        <v>453</v>
      </c>
      <c r="P455" s="79" t="s">
        <v>453</v>
      </c>
      <c r="Q455" s="79" t="s">
        <v>453</v>
      </c>
    </row>
    <row r="456" spans="1:17" ht="26.4">
      <c r="A456" s="172">
        <f t="shared" si="7"/>
        <v>453</v>
      </c>
      <c r="B456" s="80" t="s">
        <v>1112</v>
      </c>
      <c r="C456" s="80" t="s">
        <v>1113</v>
      </c>
      <c r="F456" s="80" t="s">
        <v>976</v>
      </c>
      <c r="G456" s="80" t="s">
        <v>456</v>
      </c>
      <c r="H456" s="80">
        <v>0</v>
      </c>
      <c r="I456" s="80" t="s">
        <v>456</v>
      </c>
      <c r="J456" s="79">
        <v>4</v>
      </c>
      <c r="K456" s="79">
        <v>0</v>
      </c>
      <c r="L456" s="79">
        <v>0</v>
      </c>
      <c r="M456" s="79" t="s">
        <v>579</v>
      </c>
      <c r="N456" s="79" t="s">
        <v>977</v>
      </c>
      <c r="O456" s="79" t="s">
        <v>453</v>
      </c>
      <c r="P456" s="79" t="s">
        <v>453</v>
      </c>
      <c r="Q456" s="79" t="s">
        <v>453</v>
      </c>
    </row>
    <row r="457" spans="1:17" ht="26.4">
      <c r="A457" s="172">
        <f t="shared" si="7"/>
        <v>454</v>
      </c>
      <c r="B457" s="80" t="s">
        <v>1114</v>
      </c>
      <c r="C457" s="80" t="s">
        <v>1115</v>
      </c>
      <c r="F457" s="80" t="s">
        <v>976</v>
      </c>
      <c r="G457" s="80" t="s">
        <v>456</v>
      </c>
      <c r="H457" s="80">
        <v>0</v>
      </c>
      <c r="I457" s="80" t="s">
        <v>456</v>
      </c>
      <c r="J457" s="79">
        <v>4</v>
      </c>
      <c r="K457" s="79">
        <v>0</v>
      </c>
      <c r="L457" s="79">
        <v>0</v>
      </c>
      <c r="M457" s="79" t="s">
        <v>579</v>
      </c>
      <c r="N457" s="79" t="s">
        <v>977</v>
      </c>
      <c r="O457" s="79" t="s">
        <v>453</v>
      </c>
      <c r="P457" s="79" t="s">
        <v>453</v>
      </c>
      <c r="Q457" s="79" t="s">
        <v>453</v>
      </c>
    </row>
    <row r="458" spans="1:17" ht="26.4">
      <c r="A458" s="172">
        <f t="shared" si="7"/>
        <v>455</v>
      </c>
      <c r="B458" s="80" t="s">
        <v>1116</v>
      </c>
      <c r="C458" s="80" t="s">
        <v>1117</v>
      </c>
      <c r="F458" s="80" t="s">
        <v>976</v>
      </c>
      <c r="G458" s="80" t="s">
        <v>456</v>
      </c>
      <c r="H458" s="80">
        <v>0</v>
      </c>
      <c r="I458" s="80" t="s">
        <v>456</v>
      </c>
      <c r="J458" s="79">
        <v>4</v>
      </c>
      <c r="K458" s="79">
        <v>0</v>
      </c>
      <c r="L458" s="79">
        <v>0</v>
      </c>
      <c r="M458" s="79" t="s">
        <v>579</v>
      </c>
      <c r="N458" s="79" t="s">
        <v>977</v>
      </c>
      <c r="O458" s="79" t="s">
        <v>453</v>
      </c>
      <c r="P458" s="79" t="s">
        <v>453</v>
      </c>
      <c r="Q458" s="79" t="s">
        <v>453</v>
      </c>
    </row>
    <row r="459" spans="1:17" ht="26.4">
      <c r="A459" s="172">
        <f t="shared" si="7"/>
        <v>456</v>
      </c>
      <c r="B459" s="80" t="s">
        <v>1118</v>
      </c>
      <c r="C459" s="80" t="s">
        <v>1119</v>
      </c>
      <c r="F459" s="80" t="s">
        <v>976</v>
      </c>
      <c r="G459" s="80" t="s">
        <v>456</v>
      </c>
      <c r="H459" s="80">
        <v>0</v>
      </c>
      <c r="I459" s="80" t="s">
        <v>456</v>
      </c>
      <c r="J459" s="79">
        <v>4</v>
      </c>
      <c r="K459" s="79">
        <v>0</v>
      </c>
      <c r="L459" s="79">
        <v>0</v>
      </c>
      <c r="M459" s="79" t="s">
        <v>579</v>
      </c>
      <c r="N459" s="79" t="s">
        <v>977</v>
      </c>
      <c r="O459" s="79" t="s">
        <v>453</v>
      </c>
      <c r="P459" s="79" t="s">
        <v>453</v>
      </c>
      <c r="Q459" s="79" t="s">
        <v>453</v>
      </c>
    </row>
    <row r="460" spans="1:17" ht="26.4">
      <c r="A460" s="172">
        <f t="shared" si="7"/>
        <v>457</v>
      </c>
      <c r="B460" s="80" t="s">
        <v>1120</v>
      </c>
      <c r="C460" s="80" t="s">
        <v>1121</v>
      </c>
      <c r="F460" s="80" t="s">
        <v>976</v>
      </c>
      <c r="G460" s="80" t="s">
        <v>456</v>
      </c>
      <c r="H460" s="80">
        <v>0</v>
      </c>
      <c r="I460" s="80" t="s">
        <v>456</v>
      </c>
      <c r="J460" s="79">
        <v>4</v>
      </c>
      <c r="K460" s="79">
        <v>0</v>
      </c>
      <c r="L460" s="79">
        <v>0</v>
      </c>
      <c r="M460" s="79" t="s">
        <v>579</v>
      </c>
      <c r="N460" s="79" t="s">
        <v>977</v>
      </c>
      <c r="O460" s="79" t="s">
        <v>453</v>
      </c>
      <c r="P460" s="79" t="s">
        <v>453</v>
      </c>
      <c r="Q460" s="79" t="s">
        <v>453</v>
      </c>
    </row>
    <row r="461" spans="1:17" ht="26.4">
      <c r="A461" s="172">
        <f t="shared" si="7"/>
        <v>458</v>
      </c>
      <c r="B461" s="80" t="s">
        <v>1122</v>
      </c>
      <c r="C461" s="80" t="s">
        <v>1123</v>
      </c>
      <c r="F461" s="80" t="s">
        <v>976</v>
      </c>
      <c r="G461" s="80" t="s">
        <v>456</v>
      </c>
      <c r="H461" s="80">
        <v>0</v>
      </c>
      <c r="I461" s="80" t="s">
        <v>456</v>
      </c>
      <c r="J461" s="79">
        <v>4</v>
      </c>
      <c r="K461" s="79">
        <v>0</v>
      </c>
      <c r="L461" s="79">
        <v>0</v>
      </c>
      <c r="M461" s="79" t="s">
        <v>579</v>
      </c>
      <c r="N461" s="79" t="s">
        <v>977</v>
      </c>
      <c r="O461" s="79" t="s">
        <v>453</v>
      </c>
      <c r="P461" s="79" t="s">
        <v>453</v>
      </c>
      <c r="Q461" s="79" t="s">
        <v>453</v>
      </c>
    </row>
    <row r="462" spans="1:17" ht="26.4">
      <c r="A462" s="172">
        <f t="shared" si="7"/>
        <v>459</v>
      </c>
      <c r="B462" s="80" t="s">
        <v>1124</v>
      </c>
      <c r="C462" s="80" t="s">
        <v>1125</v>
      </c>
      <c r="F462" s="80" t="s">
        <v>976</v>
      </c>
      <c r="G462" s="80" t="s">
        <v>456</v>
      </c>
      <c r="H462" s="80">
        <v>0</v>
      </c>
      <c r="I462" s="80" t="s">
        <v>456</v>
      </c>
      <c r="J462" s="79">
        <v>4</v>
      </c>
      <c r="K462" s="79">
        <v>0</v>
      </c>
      <c r="L462" s="79">
        <v>0</v>
      </c>
      <c r="M462" s="79" t="s">
        <v>579</v>
      </c>
      <c r="N462" s="79" t="s">
        <v>977</v>
      </c>
      <c r="O462" s="79" t="s">
        <v>453</v>
      </c>
      <c r="P462" s="79" t="s">
        <v>453</v>
      </c>
      <c r="Q462" s="79" t="s">
        <v>453</v>
      </c>
    </row>
    <row r="463" spans="1:17" ht="26.4">
      <c r="A463" s="172">
        <f t="shared" si="7"/>
        <v>460</v>
      </c>
      <c r="B463" s="80" t="s">
        <v>1126</v>
      </c>
      <c r="C463" s="80" t="s">
        <v>1127</v>
      </c>
      <c r="F463" s="80" t="s">
        <v>976</v>
      </c>
      <c r="G463" s="80" t="s">
        <v>456</v>
      </c>
      <c r="H463" s="80">
        <v>0</v>
      </c>
      <c r="I463" s="80" t="s">
        <v>456</v>
      </c>
      <c r="J463" s="79">
        <v>4</v>
      </c>
      <c r="K463" s="79">
        <v>0</v>
      </c>
      <c r="L463" s="79">
        <v>0</v>
      </c>
      <c r="M463" s="79" t="s">
        <v>579</v>
      </c>
      <c r="N463" s="79" t="s">
        <v>977</v>
      </c>
      <c r="O463" s="79" t="s">
        <v>453</v>
      </c>
      <c r="P463" s="79" t="s">
        <v>453</v>
      </c>
      <c r="Q463" s="79" t="s">
        <v>453</v>
      </c>
    </row>
    <row r="464" spans="1:17" ht="26.4">
      <c r="A464" s="172">
        <f t="shared" si="7"/>
        <v>461</v>
      </c>
      <c r="B464" s="80" t="s">
        <v>1128</v>
      </c>
      <c r="C464" s="80" t="s">
        <v>1129</v>
      </c>
      <c r="F464" s="80" t="s">
        <v>976</v>
      </c>
      <c r="G464" s="80" t="s">
        <v>456</v>
      </c>
      <c r="H464" s="80">
        <v>0</v>
      </c>
      <c r="I464" s="80" t="s">
        <v>456</v>
      </c>
      <c r="J464" s="79">
        <v>4</v>
      </c>
      <c r="K464" s="79">
        <v>0</v>
      </c>
      <c r="L464" s="79">
        <v>0</v>
      </c>
      <c r="M464" s="79" t="s">
        <v>579</v>
      </c>
      <c r="N464" s="79" t="s">
        <v>977</v>
      </c>
      <c r="O464" s="79" t="s">
        <v>453</v>
      </c>
      <c r="P464" s="79" t="s">
        <v>453</v>
      </c>
      <c r="Q464" s="79" t="s">
        <v>453</v>
      </c>
    </row>
    <row r="465" spans="1:17" ht="26.4">
      <c r="A465" s="172">
        <f t="shared" si="7"/>
        <v>462</v>
      </c>
      <c r="B465" s="80" t="s">
        <v>1130</v>
      </c>
      <c r="C465" s="80" t="s">
        <v>1131</v>
      </c>
      <c r="F465" s="80" t="s">
        <v>976</v>
      </c>
      <c r="G465" s="80" t="s">
        <v>456</v>
      </c>
      <c r="H465" s="80">
        <v>0</v>
      </c>
      <c r="I465" s="80" t="s">
        <v>456</v>
      </c>
      <c r="J465" s="79">
        <v>4</v>
      </c>
      <c r="K465" s="79">
        <v>0</v>
      </c>
      <c r="L465" s="79">
        <v>0</v>
      </c>
      <c r="M465" s="79" t="s">
        <v>579</v>
      </c>
      <c r="N465" s="79" t="s">
        <v>977</v>
      </c>
      <c r="O465" s="79" t="s">
        <v>453</v>
      </c>
      <c r="P465" s="79" t="s">
        <v>453</v>
      </c>
      <c r="Q465" s="79" t="s">
        <v>453</v>
      </c>
    </row>
    <row r="466" spans="1:17" ht="26.4">
      <c r="A466" s="172">
        <f t="shared" si="7"/>
        <v>463</v>
      </c>
      <c r="B466" s="80" t="s">
        <v>1132</v>
      </c>
      <c r="C466" s="80" t="s">
        <v>1133</v>
      </c>
      <c r="F466" s="80" t="s">
        <v>976</v>
      </c>
      <c r="G466" s="80" t="s">
        <v>456</v>
      </c>
      <c r="H466" s="80">
        <v>0</v>
      </c>
      <c r="I466" s="80" t="s">
        <v>456</v>
      </c>
      <c r="J466" s="79">
        <v>4</v>
      </c>
      <c r="K466" s="79">
        <v>0</v>
      </c>
      <c r="L466" s="79">
        <v>0</v>
      </c>
      <c r="M466" s="79" t="s">
        <v>579</v>
      </c>
      <c r="N466" s="79" t="s">
        <v>977</v>
      </c>
      <c r="O466" s="79" t="s">
        <v>453</v>
      </c>
      <c r="P466" s="79" t="s">
        <v>453</v>
      </c>
      <c r="Q466" s="79" t="s">
        <v>453</v>
      </c>
    </row>
    <row r="467" spans="1:17" ht="26.4">
      <c r="A467" s="172">
        <f t="shared" si="7"/>
        <v>464</v>
      </c>
      <c r="B467" s="80" t="s">
        <v>1134</v>
      </c>
      <c r="C467" s="80" t="s">
        <v>1135</v>
      </c>
      <c r="F467" s="80" t="s">
        <v>976</v>
      </c>
      <c r="G467" s="80" t="s">
        <v>456</v>
      </c>
      <c r="H467" s="80">
        <v>0</v>
      </c>
      <c r="I467" s="80" t="s">
        <v>456</v>
      </c>
      <c r="J467" s="79">
        <v>4</v>
      </c>
      <c r="K467" s="79">
        <v>0</v>
      </c>
      <c r="L467" s="79">
        <v>0</v>
      </c>
      <c r="M467" s="79" t="s">
        <v>579</v>
      </c>
      <c r="N467" s="79" t="s">
        <v>977</v>
      </c>
      <c r="O467" s="79" t="s">
        <v>453</v>
      </c>
      <c r="P467" s="79" t="s">
        <v>453</v>
      </c>
      <c r="Q467" s="79" t="s">
        <v>453</v>
      </c>
    </row>
    <row r="468" spans="1:17" ht="26.4">
      <c r="A468" s="172">
        <f t="shared" si="7"/>
        <v>465</v>
      </c>
      <c r="B468" s="80" t="s">
        <v>1136</v>
      </c>
      <c r="C468" s="80" t="s">
        <v>1137</v>
      </c>
      <c r="F468" s="80" t="s">
        <v>976</v>
      </c>
      <c r="G468" s="80" t="s">
        <v>456</v>
      </c>
      <c r="H468" s="80">
        <v>0</v>
      </c>
      <c r="I468" s="80" t="s">
        <v>456</v>
      </c>
      <c r="J468" s="79">
        <v>4</v>
      </c>
      <c r="K468" s="79">
        <v>0</v>
      </c>
      <c r="L468" s="79">
        <v>0</v>
      </c>
      <c r="M468" s="79" t="s">
        <v>579</v>
      </c>
      <c r="N468" s="79" t="s">
        <v>977</v>
      </c>
      <c r="O468" s="79" t="s">
        <v>453</v>
      </c>
      <c r="P468" s="79" t="s">
        <v>453</v>
      </c>
      <c r="Q468" s="79" t="s">
        <v>453</v>
      </c>
    </row>
    <row r="469" spans="1:17" ht="26.4">
      <c r="A469" s="172">
        <f t="shared" si="7"/>
        <v>466</v>
      </c>
      <c r="B469" s="80" t="s">
        <v>1138</v>
      </c>
      <c r="C469" s="80" t="s">
        <v>1139</v>
      </c>
      <c r="F469" s="80" t="s">
        <v>976</v>
      </c>
      <c r="G469" s="80" t="s">
        <v>456</v>
      </c>
      <c r="H469" s="80">
        <v>0</v>
      </c>
      <c r="I469" s="80" t="s">
        <v>456</v>
      </c>
      <c r="J469" s="79">
        <v>4</v>
      </c>
      <c r="K469" s="79">
        <v>0</v>
      </c>
      <c r="L469" s="79">
        <v>0</v>
      </c>
      <c r="M469" s="79" t="s">
        <v>579</v>
      </c>
      <c r="N469" s="79" t="s">
        <v>977</v>
      </c>
      <c r="O469" s="79" t="s">
        <v>453</v>
      </c>
      <c r="P469" s="79" t="s">
        <v>453</v>
      </c>
      <c r="Q469" s="79" t="s">
        <v>453</v>
      </c>
    </row>
    <row r="470" spans="1:17" ht="26.4">
      <c r="A470" s="172">
        <f t="shared" ref="A470:A533" si="8">A469+1</f>
        <v>467</v>
      </c>
      <c r="B470" s="80" t="s">
        <v>1140</v>
      </c>
      <c r="C470" s="80" t="s">
        <v>1141</v>
      </c>
      <c r="F470" s="80" t="s">
        <v>976</v>
      </c>
      <c r="G470" s="80" t="s">
        <v>456</v>
      </c>
      <c r="H470" s="80">
        <v>0</v>
      </c>
      <c r="I470" s="80" t="s">
        <v>456</v>
      </c>
      <c r="J470" s="79">
        <v>4</v>
      </c>
      <c r="K470" s="79">
        <v>0</v>
      </c>
      <c r="L470" s="79">
        <v>0</v>
      </c>
      <c r="M470" s="79" t="s">
        <v>579</v>
      </c>
      <c r="N470" s="79" t="s">
        <v>977</v>
      </c>
      <c r="O470" s="79" t="s">
        <v>453</v>
      </c>
      <c r="P470" s="79" t="s">
        <v>453</v>
      </c>
      <c r="Q470" s="79" t="s">
        <v>453</v>
      </c>
    </row>
    <row r="471" spans="1:17" ht="26.4">
      <c r="A471" s="172">
        <f t="shared" si="8"/>
        <v>468</v>
      </c>
      <c r="B471" s="80" t="s">
        <v>1142</v>
      </c>
      <c r="C471" s="80" t="s">
        <v>1143</v>
      </c>
      <c r="F471" s="80" t="s">
        <v>976</v>
      </c>
      <c r="G471" s="80" t="s">
        <v>456</v>
      </c>
      <c r="H471" s="80">
        <v>0</v>
      </c>
      <c r="I471" s="80" t="s">
        <v>456</v>
      </c>
      <c r="J471" s="79">
        <v>4</v>
      </c>
      <c r="K471" s="79">
        <v>0</v>
      </c>
      <c r="L471" s="79">
        <v>0</v>
      </c>
      <c r="M471" s="79" t="s">
        <v>579</v>
      </c>
      <c r="N471" s="79" t="s">
        <v>977</v>
      </c>
      <c r="O471" s="79" t="s">
        <v>453</v>
      </c>
      <c r="P471" s="79" t="s">
        <v>453</v>
      </c>
      <c r="Q471" s="79" t="s">
        <v>453</v>
      </c>
    </row>
    <row r="472" spans="1:17" ht="26.4">
      <c r="A472" s="172">
        <f t="shared" si="8"/>
        <v>469</v>
      </c>
      <c r="B472" s="80" t="s">
        <v>1144</v>
      </c>
      <c r="C472" s="80" t="s">
        <v>1145</v>
      </c>
      <c r="F472" s="80" t="s">
        <v>976</v>
      </c>
      <c r="G472" s="80" t="s">
        <v>456</v>
      </c>
      <c r="H472" s="80">
        <v>0</v>
      </c>
      <c r="I472" s="80" t="s">
        <v>456</v>
      </c>
      <c r="J472" s="79">
        <v>4</v>
      </c>
      <c r="K472" s="79">
        <v>0</v>
      </c>
      <c r="L472" s="79">
        <v>0</v>
      </c>
      <c r="M472" s="79" t="s">
        <v>579</v>
      </c>
      <c r="N472" s="79" t="s">
        <v>977</v>
      </c>
      <c r="O472" s="79" t="s">
        <v>453</v>
      </c>
      <c r="P472" s="79" t="s">
        <v>453</v>
      </c>
      <c r="Q472" s="79" t="s">
        <v>453</v>
      </c>
    </row>
    <row r="473" spans="1:17" ht="26.4">
      <c r="A473" s="172">
        <f t="shared" si="8"/>
        <v>470</v>
      </c>
      <c r="B473" s="80" t="s">
        <v>1146</v>
      </c>
      <c r="C473" s="80" t="s">
        <v>1147</v>
      </c>
      <c r="F473" s="80" t="s">
        <v>976</v>
      </c>
      <c r="G473" s="80" t="s">
        <v>456</v>
      </c>
      <c r="H473" s="80">
        <v>0</v>
      </c>
      <c r="I473" s="80" t="s">
        <v>456</v>
      </c>
      <c r="J473" s="79">
        <v>4</v>
      </c>
      <c r="K473" s="79">
        <v>0</v>
      </c>
      <c r="L473" s="79">
        <v>0</v>
      </c>
      <c r="M473" s="79" t="s">
        <v>579</v>
      </c>
      <c r="N473" s="79" t="s">
        <v>977</v>
      </c>
      <c r="O473" s="79" t="s">
        <v>453</v>
      </c>
      <c r="P473" s="79" t="s">
        <v>453</v>
      </c>
      <c r="Q473" s="79" t="s">
        <v>453</v>
      </c>
    </row>
    <row r="474" spans="1:17" ht="26.4">
      <c r="A474" s="172">
        <f t="shared" si="8"/>
        <v>471</v>
      </c>
      <c r="B474" s="80" t="s">
        <v>1148</v>
      </c>
      <c r="C474" s="80" t="s">
        <v>1149</v>
      </c>
      <c r="F474" s="80" t="s">
        <v>976</v>
      </c>
      <c r="G474" s="80" t="s">
        <v>456</v>
      </c>
      <c r="H474" s="80">
        <v>0</v>
      </c>
      <c r="I474" s="80" t="s">
        <v>456</v>
      </c>
      <c r="J474" s="79">
        <v>4</v>
      </c>
      <c r="K474" s="79">
        <v>0</v>
      </c>
      <c r="L474" s="79">
        <v>0</v>
      </c>
      <c r="M474" s="79" t="s">
        <v>579</v>
      </c>
      <c r="N474" s="79" t="s">
        <v>977</v>
      </c>
      <c r="O474" s="79" t="s">
        <v>453</v>
      </c>
      <c r="P474" s="79" t="s">
        <v>453</v>
      </c>
      <c r="Q474" s="79" t="s">
        <v>453</v>
      </c>
    </row>
    <row r="475" spans="1:17" ht="26.4">
      <c r="A475" s="172">
        <f t="shared" si="8"/>
        <v>472</v>
      </c>
      <c r="B475" s="80" t="s">
        <v>1150</v>
      </c>
      <c r="C475" s="80" t="s">
        <v>1151</v>
      </c>
      <c r="F475" s="80" t="s">
        <v>976</v>
      </c>
      <c r="G475" s="80" t="s">
        <v>456</v>
      </c>
      <c r="H475" s="80">
        <v>0</v>
      </c>
      <c r="I475" s="80" t="s">
        <v>456</v>
      </c>
      <c r="J475" s="79">
        <v>12</v>
      </c>
      <c r="K475" s="79">
        <v>0</v>
      </c>
      <c r="L475" s="79">
        <v>0</v>
      </c>
      <c r="M475" s="79" t="s">
        <v>579</v>
      </c>
      <c r="N475" s="79" t="s">
        <v>977</v>
      </c>
      <c r="O475" s="79" t="s">
        <v>453</v>
      </c>
      <c r="P475" s="79" t="s">
        <v>453</v>
      </c>
      <c r="Q475" s="79" t="s">
        <v>453</v>
      </c>
    </row>
    <row r="476" spans="1:17">
      <c r="A476" s="172">
        <f t="shared" si="8"/>
        <v>473</v>
      </c>
      <c r="B476" s="80" t="s">
        <v>1152</v>
      </c>
      <c r="C476" s="80" t="s">
        <v>1034</v>
      </c>
      <c r="F476" s="80" t="s">
        <v>976</v>
      </c>
      <c r="G476" s="80" t="s">
        <v>456</v>
      </c>
      <c r="H476" s="80">
        <v>0</v>
      </c>
      <c r="I476" s="80" t="s">
        <v>456</v>
      </c>
      <c r="J476" s="79">
        <v>4</v>
      </c>
      <c r="K476" s="79">
        <v>0</v>
      </c>
      <c r="L476" s="79">
        <v>0</v>
      </c>
      <c r="M476" s="79" t="s">
        <v>579</v>
      </c>
      <c r="N476" s="79" t="s">
        <v>977</v>
      </c>
      <c r="O476" s="79" t="s">
        <v>453</v>
      </c>
      <c r="P476" s="79" t="s">
        <v>453</v>
      </c>
      <c r="Q476" s="79" t="s">
        <v>453</v>
      </c>
    </row>
    <row r="477" spans="1:17">
      <c r="A477" s="172">
        <f t="shared" si="8"/>
        <v>474</v>
      </c>
      <c r="B477" s="80" t="s">
        <v>1153</v>
      </c>
      <c r="C477" s="80" t="s">
        <v>1154</v>
      </c>
      <c r="F477" s="80" t="s">
        <v>976</v>
      </c>
      <c r="G477" s="80" t="s">
        <v>456</v>
      </c>
      <c r="H477" s="80">
        <v>0</v>
      </c>
      <c r="I477" s="80" t="s">
        <v>456</v>
      </c>
      <c r="J477" s="79">
        <v>12</v>
      </c>
      <c r="K477" s="79">
        <v>0</v>
      </c>
      <c r="L477" s="79">
        <v>0</v>
      </c>
      <c r="M477" s="79" t="s">
        <v>579</v>
      </c>
      <c r="N477" s="79" t="s">
        <v>977</v>
      </c>
      <c r="O477" s="79" t="s">
        <v>453</v>
      </c>
      <c r="P477" s="79" t="s">
        <v>453</v>
      </c>
      <c r="Q477" s="79" t="s">
        <v>453</v>
      </c>
    </row>
    <row r="478" spans="1:17" ht="35.1" customHeight="1">
      <c r="A478" s="172">
        <f t="shared" si="8"/>
        <v>475</v>
      </c>
      <c r="B478" s="80" t="s">
        <v>1155</v>
      </c>
      <c r="C478" s="80" t="s">
        <v>1040</v>
      </c>
      <c r="F478" s="80" t="s">
        <v>976</v>
      </c>
      <c r="G478" s="80" t="s">
        <v>456</v>
      </c>
      <c r="H478" s="80">
        <v>0</v>
      </c>
      <c r="I478" s="80" t="s">
        <v>456</v>
      </c>
      <c r="J478" s="79">
        <v>12</v>
      </c>
      <c r="K478" s="79">
        <v>0</v>
      </c>
      <c r="L478" s="79">
        <v>0</v>
      </c>
      <c r="M478" s="79" t="s">
        <v>579</v>
      </c>
      <c r="N478" s="79" t="s">
        <v>977</v>
      </c>
      <c r="O478" s="79" t="s">
        <v>453</v>
      </c>
      <c r="P478" s="79" t="s">
        <v>453</v>
      </c>
      <c r="Q478" s="79" t="s">
        <v>453</v>
      </c>
    </row>
    <row r="479" spans="1:17">
      <c r="A479" s="172">
        <f t="shared" si="8"/>
        <v>476</v>
      </c>
      <c r="B479" s="80" t="s">
        <v>1156</v>
      </c>
      <c r="C479" s="80" t="s">
        <v>1042</v>
      </c>
      <c r="F479" s="80" t="s">
        <v>976</v>
      </c>
      <c r="G479" s="80" t="s">
        <v>456</v>
      </c>
      <c r="H479" s="80">
        <v>0</v>
      </c>
      <c r="I479" s="80" t="s">
        <v>456</v>
      </c>
      <c r="J479" s="79">
        <v>4</v>
      </c>
      <c r="K479" s="79">
        <v>0</v>
      </c>
      <c r="L479" s="79">
        <v>0</v>
      </c>
      <c r="M479" s="79" t="s">
        <v>579</v>
      </c>
      <c r="N479" s="79" t="s">
        <v>977</v>
      </c>
      <c r="O479" s="79" t="s">
        <v>453</v>
      </c>
      <c r="P479" s="79" t="s">
        <v>453</v>
      </c>
      <c r="Q479" s="79" t="s">
        <v>453</v>
      </c>
    </row>
    <row r="480" spans="1:17">
      <c r="A480" s="172">
        <f t="shared" si="8"/>
        <v>477</v>
      </c>
      <c r="B480" s="80" t="s">
        <v>1157</v>
      </c>
      <c r="C480" s="80" t="s">
        <v>1044</v>
      </c>
      <c r="F480" s="80" t="s">
        <v>976</v>
      </c>
      <c r="G480" s="80" t="s">
        <v>456</v>
      </c>
      <c r="H480" s="80">
        <v>0</v>
      </c>
      <c r="I480" s="80" t="s">
        <v>456</v>
      </c>
      <c r="J480" s="79">
        <v>12</v>
      </c>
      <c r="K480" s="79">
        <v>0</v>
      </c>
      <c r="L480" s="79">
        <v>0</v>
      </c>
      <c r="M480" s="79" t="s">
        <v>579</v>
      </c>
      <c r="N480" s="79" t="s">
        <v>977</v>
      </c>
      <c r="O480" s="79" t="s">
        <v>453</v>
      </c>
      <c r="P480" s="79" t="s">
        <v>453</v>
      </c>
      <c r="Q480" s="79" t="s">
        <v>453</v>
      </c>
    </row>
    <row r="481" spans="1:17" ht="26.4">
      <c r="A481" s="172">
        <f t="shared" si="8"/>
        <v>478</v>
      </c>
      <c r="B481" s="80" t="s">
        <v>1158</v>
      </c>
      <c r="C481" s="80" t="s">
        <v>1159</v>
      </c>
      <c r="F481" s="80" t="s">
        <v>976</v>
      </c>
      <c r="G481" s="80" t="s">
        <v>456</v>
      </c>
      <c r="H481" s="80">
        <v>0</v>
      </c>
      <c r="I481" s="80" t="s">
        <v>456</v>
      </c>
      <c r="J481" s="79">
        <v>12</v>
      </c>
      <c r="K481" s="79">
        <v>0</v>
      </c>
      <c r="L481" s="79">
        <v>0</v>
      </c>
      <c r="M481" s="79" t="s">
        <v>579</v>
      </c>
      <c r="N481" s="79" t="s">
        <v>977</v>
      </c>
      <c r="O481" s="79" t="s">
        <v>453</v>
      </c>
      <c r="P481" s="79" t="s">
        <v>453</v>
      </c>
      <c r="Q481" s="79" t="s">
        <v>453</v>
      </c>
    </row>
    <row r="482" spans="1:17" ht="26.4">
      <c r="A482" s="172">
        <f t="shared" si="8"/>
        <v>479</v>
      </c>
      <c r="B482" s="80" t="s">
        <v>1160</v>
      </c>
      <c r="C482" s="80" t="s">
        <v>1055</v>
      </c>
      <c r="F482" s="80" t="s">
        <v>976</v>
      </c>
      <c r="G482" s="80" t="s">
        <v>456</v>
      </c>
      <c r="H482" s="80">
        <v>0</v>
      </c>
      <c r="I482" s="80" t="s">
        <v>456</v>
      </c>
      <c r="J482" s="79">
        <v>4</v>
      </c>
      <c r="K482" s="79">
        <v>0</v>
      </c>
      <c r="L482" s="79">
        <v>0</v>
      </c>
      <c r="M482" s="79" t="s">
        <v>579</v>
      </c>
      <c r="N482" s="79" t="s">
        <v>977</v>
      </c>
      <c r="O482" s="79" t="s">
        <v>453</v>
      </c>
      <c r="P482" s="79" t="s">
        <v>453</v>
      </c>
      <c r="Q482" s="79" t="s">
        <v>453</v>
      </c>
    </row>
    <row r="483" spans="1:17" ht="26.4">
      <c r="A483" s="172">
        <f t="shared" si="8"/>
        <v>480</v>
      </c>
      <c r="B483" s="80" t="s">
        <v>1161</v>
      </c>
      <c r="C483" s="80" t="s">
        <v>1057</v>
      </c>
      <c r="F483" s="80" t="s">
        <v>976</v>
      </c>
      <c r="G483" s="80" t="s">
        <v>456</v>
      </c>
      <c r="H483" s="80">
        <v>0</v>
      </c>
      <c r="I483" s="80" t="s">
        <v>456</v>
      </c>
      <c r="J483" s="79">
        <v>4</v>
      </c>
      <c r="K483" s="79">
        <v>0</v>
      </c>
      <c r="L483" s="79">
        <v>0</v>
      </c>
      <c r="M483" s="79" t="s">
        <v>579</v>
      </c>
      <c r="N483" s="79" t="s">
        <v>977</v>
      </c>
      <c r="O483" s="79" t="s">
        <v>453</v>
      </c>
      <c r="P483" s="79" t="s">
        <v>453</v>
      </c>
      <c r="Q483" s="79" t="s">
        <v>453</v>
      </c>
    </row>
    <row r="484" spans="1:17" ht="26.4">
      <c r="A484" s="172">
        <f t="shared" si="8"/>
        <v>481</v>
      </c>
      <c r="B484" s="80" t="s">
        <v>1162</v>
      </c>
      <c r="C484" s="80" t="s">
        <v>1059</v>
      </c>
      <c r="F484" s="80" t="s">
        <v>976</v>
      </c>
      <c r="G484" s="80" t="s">
        <v>456</v>
      </c>
      <c r="H484" s="80">
        <v>0</v>
      </c>
      <c r="I484" s="80" t="s">
        <v>456</v>
      </c>
      <c r="J484" s="79">
        <v>4</v>
      </c>
      <c r="K484" s="79">
        <v>0</v>
      </c>
      <c r="L484" s="79">
        <v>0</v>
      </c>
      <c r="M484" s="79" t="s">
        <v>579</v>
      </c>
      <c r="N484" s="79" t="s">
        <v>977</v>
      </c>
      <c r="O484" s="79" t="s">
        <v>453</v>
      </c>
      <c r="P484" s="79" t="s">
        <v>453</v>
      </c>
      <c r="Q484" s="79" t="s">
        <v>453</v>
      </c>
    </row>
    <row r="485" spans="1:17" ht="26.4">
      <c r="A485" s="172">
        <f t="shared" si="8"/>
        <v>482</v>
      </c>
      <c r="B485" s="80" t="s">
        <v>1163</v>
      </c>
      <c r="C485" s="80" t="s">
        <v>1061</v>
      </c>
      <c r="F485" s="80" t="s">
        <v>976</v>
      </c>
      <c r="G485" s="80" t="s">
        <v>456</v>
      </c>
      <c r="H485" s="80">
        <v>0</v>
      </c>
      <c r="I485" s="80" t="s">
        <v>456</v>
      </c>
      <c r="J485" s="79">
        <v>12</v>
      </c>
      <c r="K485" s="79">
        <v>0</v>
      </c>
      <c r="L485" s="79">
        <v>0</v>
      </c>
      <c r="M485" s="79" t="s">
        <v>579</v>
      </c>
      <c r="N485" s="79" t="s">
        <v>977</v>
      </c>
      <c r="O485" s="79" t="s">
        <v>453</v>
      </c>
      <c r="P485" s="79" t="s">
        <v>453</v>
      </c>
      <c r="Q485" s="79" t="s">
        <v>453</v>
      </c>
    </row>
    <row r="486" spans="1:17" ht="26.4">
      <c r="A486" s="172">
        <f t="shared" si="8"/>
        <v>483</v>
      </c>
      <c r="B486" s="80" t="s">
        <v>1164</v>
      </c>
      <c r="C486" s="80" t="s">
        <v>1067</v>
      </c>
      <c r="F486" s="80" t="s">
        <v>976</v>
      </c>
      <c r="G486" s="80" t="s">
        <v>456</v>
      </c>
      <c r="H486" s="80">
        <v>0</v>
      </c>
      <c r="I486" s="80" t="s">
        <v>456</v>
      </c>
      <c r="J486" s="79">
        <v>12</v>
      </c>
      <c r="K486" s="79">
        <v>0</v>
      </c>
      <c r="L486" s="79">
        <v>0</v>
      </c>
      <c r="M486" s="79" t="s">
        <v>579</v>
      </c>
      <c r="N486" s="79" t="s">
        <v>977</v>
      </c>
      <c r="O486" s="79" t="s">
        <v>453</v>
      </c>
      <c r="P486" s="79" t="s">
        <v>453</v>
      </c>
      <c r="Q486" s="79" t="s">
        <v>453</v>
      </c>
    </row>
    <row r="487" spans="1:17" ht="26.4">
      <c r="A487" s="172">
        <f t="shared" si="8"/>
        <v>484</v>
      </c>
      <c r="B487" s="80" t="s">
        <v>1165</v>
      </c>
      <c r="C487" s="80" t="s">
        <v>1069</v>
      </c>
      <c r="F487" s="80" t="s">
        <v>976</v>
      </c>
      <c r="H487" s="80">
        <v>0</v>
      </c>
      <c r="I487" s="80" t="s">
        <v>450</v>
      </c>
      <c r="J487" s="79">
        <v>4</v>
      </c>
      <c r="K487" s="79">
        <v>0</v>
      </c>
      <c r="L487" s="79">
        <v>0</v>
      </c>
      <c r="M487" s="79" t="s">
        <v>579</v>
      </c>
      <c r="N487" s="79" t="s">
        <v>977</v>
      </c>
      <c r="O487" s="79" t="s">
        <v>453</v>
      </c>
      <c r="P487" s="79" t="s">
        <v>453</v>
      </c>
      <c r="Q487" s="79" t="s">
        <v>453</v>
      </c>
    </row>
    <row r="488" spans="1:17" ht="26.4">
      <c r="A488" s="172">
        <f t="shared" si="8"/>
        <v>485</v>
      </c>
      <c r="B488" s="80" t="s">
        <v>1166</v>
      </c>
      <c r="C488" s="80" t="s">
        <v>1071</v>
      </c>
      <c r="F488" s="80" t="s">
        <v>976</v>
      </c>
      <c r="H488" s="80">
        <v>0</v>
      </c>
      <c r="I488" s="80" t="s">
        <v>450</v>
      </c>
      <c r="J488" s="79">
        <v>4</v>
      </c>
      <c r="K488" s="79">
        <v>0</v>
      </c>
      <c r="L488" s="79">
        <v>0</v>
      </c>
      <c r="M488" s="79" t="s">
        <v>579</v>
      </c>
      <c r="N488" s="79" t="s">
        <v>977</v>
      </c>
      <c r="O488" s="79" t="s">
        <v>453</v>
      </c>
      <c r="P488" s="79" t="s">
        <v>453</v>
      </c>
      <c r="Q488" s="79" t="s">
        <v>453</v>
      </c>
    </row>
    <row r="489" spans="1:17" ht="26.4">
      <c r="A489" s="172">
        <f t="shared" si="8"/>
        <v>486</v>
      </c>
      <c r="B489" s="80" t="s">
        <v>1167</v>
      </c>
      <c r="C489" s="80" t="s">
        <v>1073</v>
      </c>
      <c r="F489" s="80" t="s">
        <v>976</v>
      </c>
      <c r="G489" s="80" t="s">
        <v>456</v>
      </c>
      <c r="H489" s="80">
        <v>0</v>
      </c>
      <c r="I489" s="80" t="s">
        <v>456</v>
      </c>
      <c r="J489" s="79">
        <v>12</v>
      </c>
      <c r="K489" s="79">
        <v>0</v>
      </c>
      <c r="L489" s="79">
        <v>0</v>
      </c>
      <c r="M489" s="79" t="s">
        <v>451</v>
      </c>
      <c r="N489" s="79" t="s">
        <v>977</v>
      </c>
      <c r="O489" s="79" t="s">
        <v>453</v>
      </c>
      <c r="P489" s="79" t="s">
        <v>453</v>
      </c>
      <c r="Q489" s="79" t="s">
        <v>453</v>
      </c>
    </row>
    <row r="490" spans="1:17" ht="26.4">
      <c r="A490" s="172">
        <f t="shared" si="8"/>
        <v>487</v>
      </c>
      <c r="B490" s="80" t="s">
        <v>1168</v>
      </c>
      <c r="C490" s="80" t="s">
        <v>1075</v>
      </c>
      <c r="F490" s="80" t="s">
        <v>976</v>
      </c>
      <c r="G490" s="80" t="s">
        <v>456</v>
      </c>
      <c r="H490" s="80">
        <v>0</v>
      </c>
      <c r="I490" s="80" t="s">
        <v>456</v>
      </c>
      <c r="J490" s="79">
        <v>12</v>
      </c>
      <c r="K490" s="79">
        <v>0</v>
      </c>
      <c r="L490" s="79">
        <v>0</v>
      </c>
      <c r="M490" s="79" t="s">
        <v>451</v>
      </c>
      <c r="N490" s="79" t="s">
        <v>977</v>
      </c>
      <c r="O490" s="79" t="s">
        <v>453</v>
      </c>
      <c r="P490" s="79" t="s">
        <v>453</v>
      </c>
      <c r="Q490" s="79" t="s">
        <v>453</v>
      </c>
    </row>
    <row r="491" spans="1:17" ht="26.4">
      <c r="A491" s="172">
        <f t="shared" si="8"/>
        <v>488</v>
      </c>
      <c r="B491" s="80" t="s">
        <v>1169</v>
      </c>
      <c r="C491" s="80" t="s">
        <v>1077</v>
      </c>
      <c r="F491" s="80" t="s">
        <v>976</v>
      </c>
      <c r="G491" s="80" t="s">
        <v>456</v>
      </c>
      <c r="H491" s="80">
        <v>0</v>
      </c>
      <c r="I491" s="80" t="s">
        <v>456</v>
      </c>
      <c r="J491" s="79">
        <v>12</v>
      </c>
      <c r="K491" s="79">
        <v>0</v>
      </c>
      <c r="L491" s="79">
        <v>0</v>
      </c>
      <c r="M491" s="79" t="s">
        <v>451</v>
      </c>
      <c r="N491" s="79" t="s">
        <v>977</v>
      </c>
      <c r="O491" s="79" t="s">
        <v>453</v>
      </c>
      <c r="P491" s="79" t="s">
        <v>453</v>
      </c>
      <c r="Q491" s="79" t="s">
        <v>453</v>
      </c>
    </row>
    <row r="492" spans="1:17" ht="26.4">
      <c r="A492" s="172">
        <f t="shared" si="8"/>
        <v>489</v>
      </c>
      <c r="B492" s="80" t="s">
        <v>1170</v>
      </c>
      <c r="C492" s="80" t="s">
        <v>1079</v>
      </c>
      <c r="F492" s="80" t="s">
        <v>976</v>
      </c>
      <c r="G492" s="80" t="s">
        <v>456</v>
      </c>
      <c r="H492" s="80">
        <v>0</v>
      </c>
      <c r="I492" s="80" t="s">
        <v>456</v>
      </c>
      <c r="J492" s="79">
        <v>4</v>
      </c>
      <c r="K492" s="79">
        <v>0</v>
      </c>
      <c r="L492" s="79">
        <v>0</v>
      </c>
      <c r="M492" s="79" t="s">
        <v>579</v>
      </c>
      <c r="N492" s="79" t="s">
        <v>977</v>
      </c>
      <c r="O492" s="79" t="s">
        <v>453</v>
      </c>
      <c r="P492" s="79" t="s">
        <v>453</v>
      </c>
      <c r="Q492" s="79" t="s">
        <v>453</v>
      </c>
    </row>
    <row r="493" spans="1:17">
      <c r="A493" s="172">
        <f t="shared" si="8"/>
        <v>490</v>
      </c>
      <c r="B493" s="80" t="s">
        <v>1171</v>
      </c>
      <c r="C493" s="80" t="s">
        <v>1172</v>
      </c>
      <c r="D493" s="80" t="s">
        <v>1173</v>
      </c>
      <c r="E493" s="116" t="s">
        <v>253</v>
      </c>
      <c r="F493" s="80" t="s">
        <v>503</v>
      </c>
      <c r="G493" s="80" t="s">
        <v>456</v>
      </c>
      <c r="H493" s="80">
        <v>0</v>
      </c>
      <c r="I493" s="80" t="s">
        <v>456</v>
      </c>
      <c r="J493" s="79">
        <v>10</v>
      </c>
      <c r="K493" s="79">
        <v>0</v>
      </c>
      <c r="L493" s="79">
        <v>0</v>
      </c>
      <c r="M493" s="79" t="s">
        <v>451</v>
      </c>
      <c r="N493" s="79" t="s">
        <v>452</v>
      </c>
      <c r="O493" s="79" t="s">
        <v>453</v>
      </c>
      <c r="P493" s="79" t="s">
        <v>453</v>
      </c>
      <c r="Q493" s="79" t="s">
        <v>453</v>
      </c>
    </row>
    <row r="494" spans="1:17" ht="26.4">
      <c r="A494" s="172">
        <f t="shared" si="8"/>
        <v>491</v>
      </c>
      <c r="B494" s="80" t="s">
        <v>1174</v>
      </c>
      <c r="C494" s="80" t="s">
        <v>1085</v>
      </c>
      <c r="F494" s="80" t="s">
        <v>976</v>
      </c>
      <c r="G494" s="80" t="s">
        <v>456</v>
      </c>
      <c r="H494" s="80">
        <v>0</v>
      </c>
      <c r="I494" s="80" t="s">
        <v>456</v>
      </c>
      <c r="J494" s="79">
        <v>4</v>
      </c>
      <c r="K494" s="79">
        <v>0</v>
      </c>
      <c r="L494" s="79">
        <v>0</v>
      </c>
      <c r="M494" s="79" t="s">
        <v>579</v>
      </c>
      <c r="N494" s="79" t="s">
        <v>977</v>
      </c>
      <c r="O494" s="79" t="s">
        <v>453</v>
      </c>
      <c r="P494" s="79" t="s">
        <v>453</v>
      </c>
      <c r="Q494" s="79" t="s">
        <v>453</v>
      </c>
    </row>
    <row r="495" spans="1:17" ht="26.4">
      <c r="A495" s="172">
        <f t="shared" si="8"/>
        <v>492</v>
      </c>
      <c r="B495" s="80" t="s">
        <v>1175</v>
      </c>
      <c r="C495" s="80" t="s">
        <v>1087</v>
      </c>
      <c r="F495" s="80" t="s">
        <v>976</v>
      </c>
      <c r="G495" s="80" t="s">
        <v>456</v>
      </c>
      <c r="H495" s="80">
        <v>0</v>
      </c>
      <c r="I495" s="80" t="s">
        <v>456</v>
      </c>
      <c r="J495" s="79">
        <v>4</v>
      </c>
      <c r="K495" s="79">
        <v>0</v>
      </c>
      <c r="L495" s="79">
        <v>0</v>
      </c>
      <c r="M495" s="79" t="s">
        <v>579</v>
      </c>
      <c r="N495" s="79" t="s">
        <v>977</v>
      </c>
      <c r="O495" s="79" t="s">
        <v>453</v>
      </c>
      <c r="P495" s="79" t="s">
        <v>453</v>
      </c>
      <c r="Q495" s="79" t="s">
        <v>453</v>
      </c>
    </row>
    <row r="496" spans="1:17" ht="26.4">
      <c r="A496" s="172">
        <f t="shared" si="8"/>
        <v>493</v>
      </c>
      <c r="B496" s="80" t="s">
        <v>1176</v>
      </c>
      <c r="C496" s="80" t="s">
        <v>1089</v>
      </c>
      <c r="F496" s="80" t="s">
        <v>976</v>
      </c>
      <c r="G496" s="80" t="s">
        <v>456</v>
      </c>
      <c r="H496" s="80">
        <v>0</v>
      </c>
      <c r="I496" s="80" t="s">
        <v>456</v>
      </c>
      <c r="J496" s="79">
        <v>4</v>
      </c>
      <c r="K496" s="79">
        <v>0</v>
      </c>
      <c r="L496" s="79">
        <v>0</v>
      </c>
      <c r="M496" s="79" t="s">
        <v>579</v>
      </c>
      <c r="N496" s="79" t="s">
        <v>977</v>
      </c>
      <c r="O496" s="79" t="s">
        <v>453</v>
      </c>
      <c r="P496" s="79" t="s">
        <v>453</v>
      </c>
      <c r="Q496" s="79" t="s">
        <v>453</v>
      </c>
    </row>
    <row r="497" spans="1:17" ht="26.4">
      <c r="A497" s="172">
        <f t="shared" si="8"/>
        <v>494</v>
      </c>
      <c r="B497" s="80" t="s">
        <v>1177</v>
      </c>
      <c r="C497" s="80" t="s">
        <v>1091</v>
      </c>
      <c r="F497" s="80" t="s">
        <v>976</v>
      </c>
      <c r="G497" s="80" t="s">
        <v>456</v>
      </c>
      <c r="H497" s="80">
        <v>0</v>
      </c>
      <c r="I497" s="80" t="s">
        <v>456</v>
      </c>
      <c r="J497" s="79">
        <v>4</v>
      </c>
      <c r="K497" s="79">
        <v>0</v>
      </c>
      <c r="L497" s="79">
        <v>0</v>
      </c>
      <c r="M497" s="79" t="s">
        <v>579</v>
      </c>
      <c r="N497" s="79" t="s">
        <v>977</v>
      </c>
      <c r="O497" s="79" t="s">
        <v>453</v>
      </c>
      <c r="P497" s="79" t="s">
        <v>453</v>
      </c>
      <c r="Q497" s="79" t="s">
        <v>453</v>
      </c>
    </row>
    <row r="498" spans="1:17">
      <c r="A498" s="172">
        <f t="shared" si="8"/>
        <v>495</v>
      </c>
      <c r="B498" s="80" t="s">
        <v>1178</v>
      </c>
      <c r="C498" s="80" t="s">
        <v>1093</v>
      </c>
      <c r="F498" s="80" t="s">
        <v>976</v>
      </c>
      <c r="G498" s="80" t="s">
        <v>456</v>
      </c>
      <c r="H498" s="80">
        <v>0</v>
      </c>
      <c r="I498" s="80" t="s">
        <v>456</v>
      </c>
      <c r="J498" s="79">
        <v>4</v>
      </c>
      <c r="K498" s="79">
        <v>0</v>
      </c>
      <c r="L498" s="79">
        <v>0</v>
      </c>
      <c r="M498" s="79" t="s">
        <v>579</v>
      </c>
      <c r="N498" s="79" t="s">
        <v>977</v>
      </c>
      <c r="O498" s="79" t="s">
        <v>453</v>
      </c>
      <c r="P498" s="79" t="s">
        <v>453</v>
      </c>
      <c r="Q498" s="79" t="s">
        <v>453</v>
      </c>
    </row>
    <row r="499" spans="1:17" ht="26.4">
      <c r="A499" s="172">
        <f t="shared" si="8"/>
        <v>496</v>
      </c>
      <c r="B499" s="80" t="s">
        <v>1179</v>
      </c>
      <c r="C499" s="80" t="s">
        <v>1095</v>
      </c>
      <c r="F499" s="80" t="s">
        <v>976</v>
      </c>
      <c r="G499" s="80" t="s">
        <v>456</v>
      </c>
      <c r="H499" s="80">
        <v>0</v>
      </c>
      <c r="I499" s="80" t="s">
        <v>456</v>
      </c>
      <c r="J499" s="79">
        <v>4</v>
      </c>
      <c r="K499" s="79">
        <v>0</v>
      </c>
      <c r="L499" s="79">
        <v>0</v>
      </c>
      <c r="M499" s="79" t="s">
        <v>579</v>
      </c>
      <c r="N499" s="79" t="s">
        <v>977</v>
      </c>
      <c r="O499" s="79" t="s">
        <v>453</v>
      </c>
      <c r="P499" s="79" t="s">
        <v>453</v>
      </c>
      <c r="Q499" s="79" t="s">
        <v>453</v>
      </c>
    </row>
    <row r="500" spans="1:17" ht="26.4">
      <c r="A500" s="172">
        <f t="shared" si="8"/>
        <v>497</v>
      </c>
      <c r="B500" s="80" t="s">
        <v>1180</v>
      </c>
      <c r="C500" s="80" t="s">
        <v>1097</v>
      </c>
      <c r="F500" s="80" t="s">
        <v>976</v>
      </c>
      <c r="G500" s="80" t="s">
        <v>456</v>
      </c>
      <c r="H500" s="80">
        <v>0</v>
      </c>
      <c r="I500" s="80" t="s">
        <v>456</v>
      </c>
      <c r="J500" s="79">
        <v>12</v>
      </c>
      <c r="K500" s="79">
        <v>0</v>
      </c>
      <c r="L500" s="79">
        <v>0</v>
      </c>
      <c r="M500" s="79" t="s">
        <v>579</v>
      </c>
      <c r="N500" s="79" t="s">
        <v>977</v>
      </c>
      <c r="O500" s="79" t="s">
        <v>453</v>
      </c>
      <c r="P500" s="79" t="s">
        <v>453</v>
      </c>
      <c r="Q500" s="79" t="s">
        <v>453</v>
      </c>
    </row>
    <row r="501" spans="1:17">
      <c r="A501" s="172">
        <f t="shared" si="8"/>
        <v>498</v>
      </c>
      <c r="B501" s="80" t="s">
        <v>1181</v>
      </c>
      <c r="C501" s="80" t="s">
        <v>1099</v>
      </c>
      <c r="F501" s="80" t="s">
        <v>976</v>
      </c>
      <c r="G501" s="80" t="s">
        <v>456</v>
      </c>
      <c r="H501" s="80">
        <v>0</v>
      </c>
      <c r="I501" s="80" t="s">
        <v>456</v>
      </c>
      <c r="J501" s="79">
        <v>4</v>
      </c>
      <c r="K501" s="79">
        <v>0</v>
      </c>
      <c r="L501" s="79">
        <v>0</v>
      </c>
      <c r="M501" s="79" t="s">
        <v>579</v>
      </c>
      <c r="N501" s="79" t="s">
        <v>977</v>
      </c>
      <c r="O501" s="79" t="s">
        <v>453</v>
      </c>
      <c r="P501" s="79" t="s">
        <v>453</v>
      </c>
      <c r="Q501" s="79" t="s">
        <v>453</v>
      </c>
    </row>
    <row r="502" spans="1:17" ht="26.4">
      <c r="A502" s="172">
        <f t="shared" si="8"/>
        <v>499</v>
      </c>
      <c r="B502" s="80" t="s">
        <v>1182</v>
      </c>
      <c r="C502" s="80" t="s">
        <v>1101</v>
      </c>
      <c r="F502" s="80" t="s">
        <v>976</v>
      </c>
      <c r="G502" s="80" t="s">
        <v>456</v>
      </c>
      <c r="H502" s="80">
        <v>0</v>
      </c>
      <c r="I502" s="80" t="s">
        <v>456</v>
      </c>
      <c r="J502" s="79">
        <v>4</v>
      </c>
      <c r="K502" s="79">
        <v>0</v>
      </c>
      <c r="L502" s="79">
        <v>0</v>
      </c>
      <c r="M502" s="79" t="s">
        <v>579</v>
      </c>
      <c r="N502" s="79" t="s">
        <v>977</v>
      </c>
      <c r="O502" s="79" t="s">
        <v>453</v>
      </c>
      <c r="P502" s="79" t="s">
        <v>453</v>
      </c>
      <c r="Q502" s="79" t="s">
        <v>453</v>
      </c>
    </row>
    <row r="503" spans="1:17" ht="26.4">
      <c r="A503" s="172">
        <f t="shared" si="8"/>
        <v>500</v>
      </c>
      <c r="B503" s="80" t="s">
        <v>1183</v>
      </c>
      <c r="C503" s="80" t="s">
        <v>1103</v>
      </c>
      <c r="F503" s="80" t="s">
        <v>976</v>
      </c>
      <c r="G503" s="80" t="s">
        <v>456</v>
      </c>
      <c r="H503" s="80">
        <v>0</v>
      </c>
      <c r="I503" s="80" t="s">
        <v>456</v>
      </c>
      <c r="J503" s="79">
        <v>12</v>
      </c>
      <c r="K503" s="79">
        <v>0</v>
      </c>
      <c r="L503" s="79">
        <v>0</v>
      </c>
      <c r="M503" s="79" t="s">
        <v>579</v>
      </c>
      <c r="N503" s="79" t="s">
        <v>977</v>
      </c>
      <c r="O503" s="79" t="s">
        <v>453</v>
      </c>
      <c r="P503" s="79" t="s">
        <v>453</v>
      </c>
      <c r="Q503" s="79" t="s">
        <v>453</v>
      </c>
    </row>
    <row r="504" spans="1:17" ht="26.4">
      <c r="A504" s="172">
        <f t="shared" si="8"/>
        <v>501</v>
      </c>
      <c r="B504" s="80" t="s">
        <v>1184</v>
      </c>
      <c r="C504" s="80" t="s">
        <v>1105</v>
      </c>
      <c r="F504" s="80" t="s">
        <v>976</v>
      </c>
      <c r="G504" s="80" t="s">
        <v>456</v>
      </c>
      <c r="H504" s="80">
        <v>0</v>
      </c>
      <c r="I504" s="80" t="s">
        <v>456</v>
      </c>
      <c r="J504" s="79">
        <v>4</v>
      </c>
      <c r="K504" s="79">
        <v>0</v>
      </c>
      <c r="L504" s="79">
        <v>0</v>
      </c>
      <c r="M504" s="79" t="s">
        <v>579</v>
      </c>
      <c r="N504" s="79" t="s">
        <v>977</v>
      </c>
      <c r="O504" s="79" t="s">
        <v>453</v>
      </c>
      <c r="P504" s="79" t="s">
        <v>453</v>
      </c>
      <c r="Q504" s="79" t="s">
        <v>453</v>
      </c>
    </row>
    <row r="505" spans="1:17" ht="26.4">
      <c r="A505" s="172">
        <f t="shared" si="8"/>
        <v>502</v>
      </c>
      <c r="B505" s="80" t="s">
        <v>1185</v>
      </c>
      <c r="C505" s="80" t="s">
        <v>1107</v>
      </c>
      <c r="F505" s="80" t="s">
        <v>976</v>
      </c>
      <c r="G505" s="80" t="s">
        <v>456</v>
      </c>
      <c r="H505" s="80">
        <v>0</v>
      </c>
      <c r="I505" s="80" t="s">
        <v>456</v>
      </c>
      <c r="J505" s="79">
        <v>12</v>
      </c>
      <c r="K505" s="79">
        <v>0</v>
      </c>
      <c r="L505" s="79">
        <v>0</v>
      </c>
      <c r="M505" s="79" t="s">
        <v>579</v>
      </c>
      <c r="N505" s="79" t="s">
        <v>977</v>
      </c>
      <c r="O505" s="79" t="s">
        <v>453</v>
      </c>
      <c r="P505" s="79" t="s">
        <v>453</v>
      </c>
      <c r="Q505" s="79" t="s">
        <v>453</v>
      </c>
    </row>
    <row r="506" spans="1:17" ht="26.4">
      <c r="A506" s="172">
        <f t="shared" si="8"/>
        <v>503</v>
      </c>
      <c r="B506" s="80" t="s">
        <v>1186</v>
      </c>
      <c r="C506" s="80" t="s">
        <v>1109</v>
      </c>
      <c r="F506" s="80" t="s">
        <v>976</v>
      </c>
      <c r="G506" s="80" t="s">
        <v>456</v>
      </c>
      <c r="H506" s="80">
        <v>0</v>
      </c>
      <c r="I506" s="80" t="s">
        <v>456</v>
      </c>
      <c r="J506" s="79">
        <v>4</v>
      </c>
      <c r="K506" s="79">
        <v>0</v>
      </c>
      <c r="L506" s="79">
        <v>0</v>
      </c>
      <c r="M506" s="79" t="s">
        <v>579</v>
      </c>
      <c r="N506" s="79" t="s">
        <v>977</v>
      </c>
      <c r="O506" s="79" t="s">
        <v>453</v>
      </c>
      <c r="P506" s="79" t="s">
        <v>453</v>
      </c>
      <c r="Q506" s="79" t="s">
        <v>453</v>
      </c>
    </row>
    <row r="507" spans="1:17" ht="26.4">
      <c r="A507" s="172">
        <f t="shared" si="8"/>
        <v>504</v>
      </c>
      <c r="B507" s="80" t="s">
        <v>1187</v>
      </c>
      <c r="C507" s="80" t="s">
        <v>1111</v>
      </c>
      <c r="F507" s="80" t="s">
        <v>976</v>
      </c>
      <c r="G507" s="80" t="s">
        <v>456</v>
      </c>
      <c r="H507" s="80">
        <v>0</v>
      </c>
      <c r="I507" s="80" t="s">
        <v>456</v>
      </c>
      <c r="J507" s="79">
        <v>4</v>
      </c>
      <c r="K507" s="79">
        <v>0</v>
      </c>
      <c r="L507" s="79">
        <v>0</v>
      </c>
      <c r="M507" s="79" t="s">
        <v>579</v>
      </c>
      <c r="N507" s="79" t="s">
        <v>977</v>
      </c>
      <c r="O507" s="79" t="s">
        <v>453</v>
      </c>
      <c r="P507" s="79" t="s">
        <v>453</v>
      </c>
      <c r="Q507" s="79" t="s">
        <v>453</v>
      </c>
    </row>
    <row r="508" spans="1:17" ht="26.4">
      <c r="A508" s="172">
        <f t="shared" si="8"/>
        <v>505</v>
      </c>
      <c r="B508" s="80" t="s">
        <v>1188</v>
      </c>
      <c r="C508" s="80" t="s">
        <v>1113</v>
      </c>
      <c r="F508" s="80" t="s">
        <v>976</v>
      </c>
      <c r="G508" s="80" t="s">
        <v>456</v>
      </c>
      <c r="H508" s="80">
        <v>0</v>
      </c>
      <c r="I508" s="80" t="s">
        <v>456</v>
      </c>
      <c r="J508" s="79">
        <v>4</v>
      </c>
      <c r="K508" s="79">
        <v>0</v>
      </c>
      <c r="L508" s="79">
        <v>0</v>
      </c>
      <c r="M508" s="79" t="s">
        <v>579</v>
      </c>
      <c r="N508" s="79" t="s">
        <v>977</v>
      </c>
      <c r="O508" s="79" t="s">
        <v>453</v>
      </c>
      <c r="P508" s="79" t="s">
        <v>453</v>
      </c>
      <c r="Q508" s="79" t="s">
        <v>453</v>
      </c>
    </row>
    <row r="509" spans="1:17" ht="26.4">
      <c r="A509" s="172">
        <f t="shared" si="8"/>
        <v>506</v>
      </c>
      <c r="B509" s="80" t="s">
        <v>1189</v>
      </c>
      <c r="C509" s="80" t="s">
        <v>1115</v>
      </c>
      <c r="F509" s="80" t="s">
        <v>976</v>
      </c>
      <c r="G509" s="80" t="s">
        <v>456</v>
      </c>
      <c r="H509" s="80">
        <v>0</v>
      </c>
      <c r="I509" s="80" t="s">
        <v>456</v>
      </c>
      <c r="J509" s="79">
        <v>4</v>
      </c>
      <c r="K509" s="79">
        <v>0</v>
      </c>
      <c r="L509" s="79">
        <v>0</v>
      </c>
      <c r="M509" s="79" t="s">
        <v>579</v>
      </c>
      <c r="N509" s="79" t="s">
        <v>977</v>
      </c>
      <c r="O509" s="79" t="s">
        <v>453</v>
      </c>
      <c r="P509" s="79" t="s">
        <v>453</v>
      </c>
      <c r="Q509" s="79" t="s">
        <v>453</v>
      </c>
    </row>
    <row r="510" spans="1:17" ht="26.4">
      <c r="A510" s="172">
        <f t="shared" si="8"/>
        <v>507</v>
      </c>
      <c r="B510" s="80" t="s">
        <v>1190</v>
      </c>
      <c r="C510" s="80" t="s">
        <v>1117</v>
      </c>
      <c r="F510" s="80" t="s">
        <v>976</v>
      </c>
      <c r="G510" s="80" t="s">
        <v>456</v>
      </c>
      <c r="H510" s="80">
        <v>0</v>
      </c>
      <c r="I510" s="80" t="s">
        <v>456</v>
      </c>
      <c r="J510" s="79">
        <v>4</v>
      </c>
      <c r="K510" s="79">
        <v>0</v>
      </c>
      <c r="L510" s="79">
        <v>0</v>
      </c>
      <c r="M510" s="79" t="s">
        <v>579</v>
      </c>
      <c r="N510" s="79" t="s">
        <v>977</v>
      </c>
      <c r="O510" s="79" t="s">
        <v>453</v>
      </c>
      <c r="P510" s="79" t="s">
        <v>453</v>
      </c>
      <c r="Q510" s="79" t="s">
        <v>453</v>
      </c>
    </row>
    <row r="511" spans="1:17" ht="26.4">
      <c r="A511" s="172">
        <f t="shared" si="8"/>
        <v>508</v>
      </c>
      <c r="B511" s="80" t="s">
        <v>1191</v>
      </c>
      <c r="C511" s="80" t="s">
        <v>1119</v>
      </c>
      <c r="F511" s="80" t="s">
        <v>976</v>
      </c>
      <c r="G511" s="80" t="s">
        <v>456</v>
      </c>
      <c r="H511" s="80">
        <v>0</v>
      </c>
      <c r="I511" s="80" t="s">
        <v>456</v>
      </c>
      <c r="J511" s="79">
        <v>4</v>
      </c>
      <c r="K511" s="79">
        <v>0</v>
      </c>
      <c r="L511" s="79">
        <v>0</v>
      </c>
      <c r="M511" s="79" t="s">
        <v>579</v>
      </c>
      <c r="N511" s="79" t="s">
        <v>977</v>
      </c>
      <c r="O511" s="79" t="s">
        <v>453</v>
      </c>
      <c r="P511" s="79" t="s">
        <v>453</v>
      </c>
      <c r="Q511" s="79" t="s">
        <v>453</v>
      </c>
    </row>
    <row r="512" spans="1:17" ht="26.4">
      <c r="A512" s="172">
        <f t="shared" si="8"/>
        <v>509</v>
      </c>
      <c r="B512" s="80" t="s">
        <v>1192</v>
      </c>
      <c r="C512" s="80" t="s">
        <v>1121</v>
      </c>
      <c r="F512" s="80" t="s">
        <v>976</v>
      </c>
      <c r="G512" s="80" t="s">
        <v>456</v>
      </c>
      <c r="H512" s="80">
        <v>0</v>
      </c>
      <c r="I512" s="80" t="s">
        <v>456</v>
      </c>
      <c r="J512" s="79">
        <v>4</v>
      </c>
      <c r="K512" s="79">
        <v>0</v>
      </c>
      <c r="L512" s="79">
        <v>0</v>
      </c>
      <c r="M512" s="79" t="s">
        <v>579</v>
      </c>
      <c r="N512" s="79" t="s">
        <v>977</v>
      </c>
      <c r="O512" s="79" t="s">
        <v>453</v>
      </c>
      <c r="P512" s="79" t="s">
        <v>453</v>
      </c>
      <c r="Q512" s="79" t="s">
        <v>453</v>
      </c>
    </row>
    <row r="513" spans="1:17" ht="26.4">
      <c r="A513" s="172">
        <f t="shared" si="8"/>
        <v>510</v>
      </c>
      <c r="B513" s="80" t="s">
        <v>1193</v>
      </c>
      <c r="C513" s="80" t="s">
        <v>1123</v>
      </c>
      <c r="F513" s="80" t="s">
        <v>976</v>
      </c>
      <c r="G513" s="80" t="s">
        <v>456</v>
      </c>
      <c r="H513" s="80">
        <v>0</v>
      </c>
      <c r="I513" s="80" t="s">
        <v>456</v>
      </c>
      <c r="J513" s="79">
        <v>4</v>
      </c>
      <c r="K513" s="79">
        <v>0</v>
      </c>
      <c r="L513" s="79">
        <v>0</v>
      </c>
      <c r="M513" s="79" t="s">
        <v>579</v>
      </c>
      <c r="N513" s="79" t="s">
        <v>977</v>
      </c>
      <c r="O513" s="79" t="s">
        <v>453</v>
      </c>
      <c r="P513" s="79" t="s">
        <v>453</v>
      </c>
      <c r="Q513" s="79" t="s">
        <v>453</v>
      </c>
    </row>
    <row r="514" spans="1:17" ht="26.4">
      <c r="A514" s="172">
        <f t="shared" si="8"/>
        <v>511</v>
      </c>
      <c r="B514" s="80" t="s">
        <v>1194</v>
      </c>
      <c r="C514" s="80" t="s">
        <v>1125</v>
      </c>
      <c r="F514" s="80" t="s">
        <v>976</v>
      </c>
      <c r="G514" s="80" t="s">
        <v>456</v>
      </c>
      <c r="H514" s="80">
        <v>0</v>
      </c>
      <c r="I514" s="80" t="s">
        <v>456</v>
      </c>
      <c r="J514" s="79">
        <v>4</v>
      </c>
      <c r="K514" s="79">
        <v>0</v>
      </c>
      <c r="L514" s="79">
        <v>0</v>
      </c>
      <c r="M514" s="79" t="s">
        <v>579</v>
      </c>
      <c r="N514" s="79" t="s">
        <v>977</v>
      </c>
      <c r="O514" s="79" t="s">
        <v>453</v>
      </c>
      <c r="P514" s="79" t="s">
        <v>453</v>
      </c>
      <c r="Q514" s="79" t="s">
        <v>453</v>
      </c>
    </row>
    <row r="515" spans="1:17" ht="26.4">
      <c r="A515" s="172">
        <f t="shared" si="8"/>
        <v>512</v>
      </c>
      <c r="B515" s="80" t="s">
        <v>1195</v>
      </c>
      <c r="C515" s="80" t="s">
        <v>1127</v>
      </c>
      <c r="F515" s="80" t="s">
        <v>976</v>
      </c>
      <c r="G515" s="80" t="s">
        <v>456</v>
      </c>
      <c r="H515" s="80">
        <v>0</v>
      </c>
      <c r="I515" s="80" t="s">
        <v>456</v>
      </c>
      <c r="J515" s="79">
        <v>4</v>
      </c>
      <c r="K515" s="79">
        <v>0</v>
      </c>
      <c r="L515" s="79">
        <v>0</v>
      </c>
      <c r="M515" s="79" t="s">
        <v>579</v>
      </c>
      <c r="N515" s="79" t="s">
        <v>977</v>
      </c>
      <c r="O515" s="79" t="s">
        <v>453</v>
      </c>
      <c r="P515" s="79" t="s">
        <v>453</v>
      </c>
      <c r="Q515" s="79" t="s">
        <v>453</v>
      </c>
    </row>
    <row r="516" spans="1:17" ht="26.4">
      <c r="A516" s="172">
        <f t="shared" si="8"/>
        <v>513</v>
      </c>
      <c r="B516" s="80" t="s">
        <v>1196</v>
      </c>
      <c r="C516" s="80" t="s">
        <v>1129</v>
      </c>
      <c r="F516" s="80" t="s">
        <v>976</v>
      </c>
      <c r="G516" s="80" t="s">
        <v>456</v>
      </c>
      <c r="H516" s="80">
        <v>0</v>
      </c>
      <c r="I516" s="80" t="s">
        <v>456</v>
      </c>
      <c r="J516" s="79">
        <v>4</v>
      </c>
      <c r="K516" s="79">
        <v>0</v>
      </c>
      <c r="L516" s="79">
        <v>0</v>
      </c>
      <c r="M516" s="79" t="s">
        <v>579</v>
      </c>
      <c r="N516" s="79" t="s">
        <v>977</v>
      </c>
      <c r="O516" s="79" t="s">
        <v>453</v>
      </c>
      <c r="P516" s="79" t="s">
        <v>453</v>
      </c>
      <c r="Q516" s="79" t="s">
        <v>453</v>
      </c>
    </row>
    <row r="517" spans="1:17" ht="26.4">
      <c r="A517" s="172">
        <f t="shared" si="8"/>
        <v>514</v>
      </c>
      <c r="B517" s="80" t="s">
        <v>1197</v>
      </c>
      <c r="C517" s="80" t="s">
        <v>1131</v>
      </c>
      <c r="F517" s="80" t="s">
        <v>976</v>
      </c>
      <c r="G517" s="80" t="s">
        <v>456</v>
      </c>
      <c r="H517" s="80">
        <v>0</v>
      </c>
      <c r="I517" s="80" t="s">
        <v>456</v>
      </c>
      <c r="J517" s="79">
        <v>4</v>
      </c>
      <c r="K517" s="79">
        <v>0</v>
      </c>
      <c r="L517" s="79">
        <v>0</v>
      </c>
      <c r="M517" s="79" t="s">
        <v>579</v>
      </c>
      <c r="N517" s="79" t="s">
        <v>977</v>
      </c>
      <c r="O517" s="79" t="s">
        <v>453</v>
      </c>
      <c r="P517" s="79" t="s">
        <v>453</v>
      </c>
      <c r="Q517" s="79" t="s">
        <v>453</v>
      </c>
    </row>
    <row r="518" spans="1:17" ht="26.4">
      <c r="A518" s="172">
        <f t="shared" si="8"/>
        <v>515</v>
      </c>
      <c r="B518" s="80" t="s">
        <v>1198</v>
      </c>
      <c r="C518" s="80" t="s">
        <v>1133</v>
      </c>
      <c r="F518" s="80" t="s">
        <v>976</v>
      </c>
      <c r="G518" s="80" t="s">
        <v>456</v>
      </c>
      <c r="H518" s="80">
        <v>0</v>
      </c>
      <c r="I518" s="80" t="s">
        <v>456</v>
      </c>
      <c r="J518" s="79">
        <v>4</v>
      </c>
      <c r="K518" s="79">
        <v>0</v>
      </c>
      <c r="L518" s="79">
        <v>0</v>
      </c>
      <c r="M518" s="79" t="s">
        <v>579</v>
      </c>
      <c r="N518" s="79" t="s">
        <v>977</v>
      </c>
      <c r="O518" s="79" t="s">
        <v>453</v>
      </c>
      <c r="P518" s="79" t="s">
        <v>453</v>
      </c>
      <c r="Q518" s="79" t="s">
        <v>453</v>
      </c>
    </row>
    <row r="519" spans="1:17" ht="26.4">
      <c r="A519" s="172">
        <f t="shared" si="8"/>
        <v>516</v>
      </c>
      <c r="B519" s="80" t="s">
        <v>1199</v>
      </c>
      <c r="C519" s="80" t="s">
        <v>1135</v>
      </c>
      <c r="F519" s="80" t="s">
        <v>976</v>
      </c>
      <c r="G519" s="80" t="s">
        <v>456</v>
      </c>
      <c r="H519" s="80">
        <v>0</v>
      </c>
      <c r="I519" s="80" t="s">
        <v>456</v>
      </c>
      <c r="J519" s="79">
        <v>4</v>
      </c>
      <c r="K519" s="79">
        <v>0</v>
      </c>
      <c r="L519" s="79">
        <v>0</v>
      </c>
      <c r="M519" s="79" t="s">
        <v>579</v>
      </c>
      <c r="N519" s="79" t="s">
        <v>977</v>
      </c>
      <c r="O519" s="79" t="s">
        <v>453</v>
      </c>
      <c r="P519" s="79" t="s">
        <v>453</v>
      </c>
      <c r="Q519" s="79" t="s">
        <v>453</v>
      </c>
    </row>
    <row r="520" spans="1:17" ht="26.4">
      <c r="A520" s="172">
        <f t="shared" si="8"/>
        <v>517</v>
      </c>
      <c r="B520" s="80" t="s">
        <v>1200</v>
      </c>
      <c r="C520" s="80" t="s">
        <v>1137</v>
      </c>
      <c r="F520" s="80" t="s">
        <v>976</v>
      </c>
      <c r="G520" s="80" t="s">
        <v>456</v>
      </c>
      <c r="H520" s="80">
        <v>0</v>
      </c>
      <c r="I520" s="80" t="s">
        <v>456</v>
      </c>
      <c r="J520" s="79">
        <v>4</v>
      </c>
      <c r="K520" s="79">
        <v>0</v>
      </c>
      <c r="L520" s="79">
        <v>0</v>
      </c>
      <c r="M520" s="79" t="s">
        <v>579</v>
      </c>
      <c r="N520" s="79" t="s">
        <v>977</v>
      </c>
      <c r="O520" s="79" t="s">
        <v>453</v>
      </c>
      <c r="P520" s="79" t="s">
        <v>453</v>
      </c>
      <c r="Q520" s="79" t="s">
        <v>453</v>
      </c>
    </row>
    <row r="521" spans="1:17" ht="26.4">
      <c r="A521" s="172">
        <f t="shared" si="8"/>
        <v>518</v>
      </c>
      <c r="B521" s="80" t="s">
        <v>1201</v>
      </c>
      <c r="C521" s="80" t="s">
        <v>1139</v>
      </c>
      <c r="F521" s="80" t="s">
        <v>976</v>
      </c>
      <c r="G521" s="80" t="s">
        <v>456</v>
      </c>
      <c r="H521" s="80">
        <v>0</v>
      </c>
      <c r="I521" s="80" t="s">
        <v>456</v>
      </c>
      <c r="J521" s="79">
        <v>4</v>
      </c>
      <c r="K521" s="79">
        <v>0</v>
      </c>
      <c r="L521" s="79">
        <v>0</v>
      </c>
      <c r="M521" s="79" t="s">
        <v>579</v>
      </c>
      <c r="N521" s="79" t="s">
        <v>977</v>
      </c>
      <c r="O521" s="79" t="s">
        <v>453</v>
      </c>
      <c r="P521" s="79" t="s">
        <v>453</v>
      </c>
      <c r="Q521" s="79" t="s">
        <v>453</v>
      </c>
    </row>
    <row r="522" spans="1:17" ht="26.4">
      <c r="A522" s="172">
        <f t="shared" si="8"/>
        <v>519</v>
      </c>
      <c r="B522" s="80" t="s">
        <v>1202</v>
      </c>
      <c r="C522" s="80" t="s">
        <v>1141</v>
      </c>
      <c r="F522" s="80" t="s">
        <v>976</v>
      </c>
      <c r="G522" s="80" t="s">
        <v>456</v>
      </c>
      <c r="H522" s="80">
        <v>0</v>
      </c>
      <c r="I522" s="80" t="s">
        <v>456</v>
      </c>
      <c r="J522" s="79">
        <v>4</v>
      </c>
      <c r="K522" s="79">
        <v>0</v>
      </c>
      <c r="L522" s="79">
        <v>0</v>
      </c>
      <c r="M522" s="79" t="s">
        <v>579</v>
      </c>
      <c r="N522" s="79" t="s">
        <v>977</v>
      </c>
      <c r="O522" s="79" t="s">
        <v>453</v>
      </c>
      <c r="P522" s="79" t="s">
        <v>453</v>
      </c>
      <c r="Q522" s="79" t="s">
        <v>453</v>
      </c>
    </row>
    <row r="523" spans="1:17" ht="26.4">
      <c r="A523" s="172">
        <f t="shared" si="8"/>
        <v>520</v>
      </c>
      <c r="B523" s="80" t="s">
        <v>1203</v>
      </c>
      <c r="C523" s="80" t="s">
        <v>1143</v>
      </c>
      <c r="F523" s="80" t="s">
        <v>976</v>
      </c>
      <c r="G523" s="80" t="s">
        <v>456</v>
      </c>
      <c r="H523" s="80">
        <v>0</v>
      </c>
      <c r="I523" s="80" t="s">
        <v>456</v>
      </c>
      <c r="J523" s="79">
        <v>4</v>
      </c>
      <c r="K523" s="79">
        <v>0</v>
      </c>
      <c r="L523" s="79">
        <v>0</v>
      </c>
      <c r="M523" s="79" t="s">
        <v>579</v>
      </c>
      <c r="N523" s="79" t="s">
        <v>977</v>
      </c>
      <c r="O523" s="79" t="s">
        <v>453</v>
      </c>
      <c r="P523" s="79" t="s">
        <v>453</v>
      </c>
      <c r="Q523" s="79" t="s">
        <v>453</v>
      </c>
    </row>
    <row r="524" spans="1:17" ht="26.4">
      <c r="A524" s="172">
        <f t="shared" si="8"/>
        <v>521</v>
      </c>
      <c r="B524" s="80" t="s">
        <v>1204</v>
      </c>
      <c r="C524" s="80" t="s">
        <v>1145</v>
      </c>
      <c r="F524" s="80" t="s">
        <v>976</v>
      </c>
      <c r="G524" s="80" t="s">
        <v>456</v>
      </c>
      <c r="H524" s="80">
        <v>0</v>
      </c>
      <c r="I524" s="80" t="s">
        <v>456</v>
      </c>
      <c r="J524" s="79">
        <v>4</v>
      </c>
      <c r="K524" s="79">
        <v>0</v>
      </c>
      <c r="L524" s="79">
        <v>0</v>
      </c>
      <c r="M524" s="79" t="s">
        <v>579</v>
      </c>
      <c r="N524" s="79" t="s">
        <v>977</v>
      </c>
      <c r="O524" s="79" t="s">
        <v>453</v>
      </c>
      <c r="P524" s="79" t="s">
        <v>453</v>
      </c>
      <c r="Q524" s="79" t="s">
        <v>453</v>
      </c>
    </row>
    <row r="525" spans="1:17" ht="26.4">
      <c r="A525" s="172">
        <f t="shared" si="8"/>
        <v>522</v>
      </c>
      <c r="B525" s="80" t="s">
        <v>1205</v>
      </c>
      <c r="C525" s="80" t="s">
        <v>1147</v>
      </c>
      <c r="F525" s="80" t="s">
        <v>976</v>
      </c>
      <c r="G525" s="80" t="s">
        <v>456</v>
      </c>
      <c r="H525" s="80">
        <v>0</v>
      </c>
      <c r="I525" s="80" t="s">
        <v>456</v>
      </c>
      <c r="J525" s="79">
        <v>4</v>
      </c>
      <c r="K525" s="79">
        <v>0</v>
      </c>
      <c r="L525" s="79">
        <v>0</v>
      </c>
      <c r="M525" s="79" t="s">
        <v>579</v>
      </c>
      <c r="N525" s="79" t="s">
        <v>977</v>
      </c>
      <c r="O525" s="79" t="s">
        <v>453</v>
      </c>
      <c r="P525" s="79" t="s">
        <v>453</v>
      </c>
      <c r="Q525" s="79" t="s">
        <v>453</v>
      </c>
    </row>
    <row r="526" spans="1:17" ht="26.4">
      <c r="A526" s="172">
        <f t="shared" si="8"/>
        <v>523</v>
      </c>
      <c r="B526" s="80" t="s">
        <v>1206</v>
      </c>
      <c r="C526" s="80" t="s">
        <v>1149</v>
      </c>
      <c r="F526" s="80" t="s">
        <v>976</v>
      </c>
      <c r="G526" s="80" t="s">
        <v>456</v>
      </c>
      <c r="H526" s="80">
        <v>0</v>
      </c>
      <c r="I526" s="80" t="s">
        <v>456</v>
      </c>
      <c r="J526" s="79">
        <v>4</v>
      </c>
      <c r="K526" s="79">
        <v>0</v>
      </c>
      <c r="L526" s="79">
        <v>0</v>
      </c>
      <c r="M526" s="79" t="s">
        <v>579</v>
      </c>
      <c r="N526" s="79" t="s">
        <v>977</v>
      </c>
      <c r="O526" s="79" t="s">
        <v>453</v>
      </c>
      <c r="P526" s="79" t="s">
        <v>453</v>
      </c>
      <c r="Q526" s="79" t="s">
        <v>453</v>
      </c>
    </row>
    <row r="527" spans="1:17" ht="26.4">
      <c r="A527" s="172">
        <f t="shared" si="8"/>
        <v>524</v>
      </c>
      <c r="B527" s="80" t="s">
        <v>1207</v>
      </c>
      <c r="C527" s="80" t="s">
        <v>1151</v>
      </c>
      <c r="F527" s="80" t="s">
        <v>976</v>
      </c>
      <c r="G527" s="80" t="s">
        <v>456</v>
      </c>
      <c r="H527" s="80">
        <v>0</v>
      </c>
      <c r="I527" s="80" t="s">
        <v>456</v>
      </c>
      <c r="J527" s="79">
        <v>12</v>
      </c>
      <c r="K527" s="79">
        <v>0</v>
      </c>
      <c r="L527" s="79">
        <v>0</v>
      </c>
      <c r="M527" s="79" t="s">
        <v>579</v>
      </c>
      <c r="N527" s="79" t="s">
        <v>977</v>
      </c>
      <c r="O527" s="79" t="s">
        <v>453</v>
      </c>
      <c r="P527" s="79" t="s">
        <v>453</v>
      </c>
      <c r="Q527" s="79" t="s">
        <v>453</v>
      </c>
    </row>
    <row r="528" spans="1:17">
      <c r="A528" s="172">
        <f t="shared" si="8"/>
        <v>525</v>
      </c>
      <c r="B528" s="80" t="s">
        <v>1208</v>
      </c>
      <c r="C528" s="80" t="s">
        <v>1034</v>
      </c>
      <c r="F528" s="80" t="s">
        <v>976</v>
      </c>
      <c r="G528" s="80" t="s">
        <v>456</v>
      </c>
      <c r="H528" s="80">
        <v>0</v>
      </c>
      <c r="I528" s="80" t="s">
        <v>456</v>
      </c>
      <c r="J528" s="79">
        <v>4</v>
      </c>
      <c r="K528" s="79">
        <v>0</v>
      </c>
      <c r="L528" s="79">
        <v>0</v>
      </c>
      <c r="M528" s="79" t="s">
        <v>579</v>
      </c>
      <c r="N528" s="79" t="s">
        <v>977</v>
      </c>
      <c r="O528" s="79" t="s">
        <v>453</v>
      </c>
      <c r="P528" s="79" t="s">
        <v>453</v>
      </c>
      <c r="Q528" s="79" t="s">
        <v>453</v>
      </c>
    </row>
    <row r="529" spans="1:17">
      <c r="A529" s="172">
        <f t="shared" si="8"/>
        <v>526</v>
      </c>
      <c r="B529" s="80" t="s">
        <v>1209</v>
      </c>
      <c r="C529" s="80" t="s">
        <v>1154</v>
      </c>
      <c r="F529" s="80" t="s">
        <v>976</v>
      </c>
      <c r="G529" s="80" t="s">
        <v>456</v>
      </c>
      <c r="H529" s="80">
        <v>0</v>
      </c>
      <c r="I529" s="80" t="s">
        <v>456</v>
      </c>
      <c r="J529" s="79">
        <v>12</v>
      </c>
      <c r="K529" s="79">
        <v>0</v>
      </c>
      <c r="L529" s="79">
        <v>0</v>
      </c>
      <c r="M529" s="79" t="s">
        <v>579</v>
      </c>
      <c r="N529" s="79" t="s">
        <v>977</v>
      </c>
      <c r="O529" s="79" t="s">
        <v>453</v>
      </c>
      <c r="P529" s="79" t="s">
        <v>453</v>
      </c>
      <c r="Q529" s="79" t="s">
        <v>453</v>
      </c>
    </row>
    <row r="530" spans="1:17" ht="35.1" customHeight="1">
      <c r="A530" s="172">
        <f t="shared" si="8"/>
        <v>527</v>
      </c>
      <c r="B530" s="80" t="s">
        <v>1210</v>
      </c>
      <c r="C530" s="80" t="s">
        <v>1040</v>
      </c>
      <c r="F530" s="80" t="s">
        <v>976</v>
      </c>
      <c r="G530" s="80" t="s">
        <v>456</v>
      </c>
      <c r="H530" s="80">
        <v>0</v>
      </c>
      <c r="I530" s="80" t="s">
        <v>456</v>
      </c>
      <c r="J530" s="79">
        <v>12</v>
      </c>
      <c r="K530" s="79">
        <v>0</v>
      </c>
      <c r="L530" s="79">
        <v>0</v>
      </c>
      <c r="M530" s="79" t="s">
        <v>579</v>
      </c>
      <c r="N530" s="79" t="s">
        <v>977</v>
      </c>
      <c r="O530" s="79" t="s">
        <v>453</v>
      </c>
      <c r="P530" s="79" t="s">
        <v>453</v>
      </c>
      <c r="Q530" s="79" t="s">
        <v>453</v>
      </c>
    </row>
    <row r="531" spans="1:17">
      <c r="A531" s="172">
        <f t="shared" si="8"/>
        <v>528</v>
      </c>
      <c r="B531" s="80" t="s">
        <v>1211</v>
      </c>
      <c r="C531" s="80" t="s">
        <v>1042</v>
      </c>
      <c r="F531" s="80" t="s">
        <v>976</v>
      </c>
      <c r="G531" s="80" t="s">
        <v>456</v>
      </c>
      <c r="H531" s="80">
        <v>0</v>
      </c>
      <c r="I531" s="80" t="s">
        <v>456</v>
      </c>
      <c r="J531" s="79">
        <v>4</v>
      </c>
      <c r="K531" s="79">
        <v>0</v>
      </c>
      <c r="L531" s="79">
        <v>0</v>
      </c>
      <c r="M531" s="79" t="s">
        <v>579</v>
      </c>
      <c r="N531" s="79" t="s">
        <v>977</v>
      </c>
      <c r="O531" s="79" t="s">
        <v>453</v>
      </c>
      <c r="P531" s="79" t="s">
        <v>453</v>
      </c>
      <c r="Q531" s="79" t="s">
        <v>453</v>
      </c>
    </row>
    <row r="532" spans="1:17">
      <c r="A532" s="172">
        <f t="shared" si="8"/>
        <v>529</v>
      </c>
      <c r="B532" s="80" t="s">
        <v>1212</v>
      </c>
      <c r="C532" s="80" t="s">
        <v>1044</v>
      </c>
      <c r="F532" s="80" t="s">
        <v>976</v>
      </c>
      <c r="G532" s="80" t="s">
        <v>456</v>
      </c>
      <c r="H532" s="80">
        <v>0</v>
      </c>
      <c r="I532" s="80" t="s">
        <v>456</v>
      </c>
      <c r="J532" s="79">
        <v>12</v>
      </c>
      <c r="K532" s="79">
        <v>0</v>
      </c>
      <c r="L532" s="79">
        <v>0</v>
      </c>
      <c r="M532" s="79" t="s">
        <v>579</v>
      </c>
      <c r="N532" s="79" t="s">
        <v>977</v>
      </c>
      <c r="O532" s="79" t="s">
        <v>453</v>
      </c>
      <c r="P532" s="79" t="s">
        <v>453</v>
      </c>
      <c r="Q532" s="79" t="s">
        <v>453</v>
      </c>
    </row>
    <row r="533" spans="1:17">
      <c r="A533" s="172">
        <f t="shared" si="8"/>
        <v>530</v>
      </c>
      <c r="B533" s="80" t="s">
        <v>1213</v>
      </c>
      <c r="C533" s="80" t="s">
        <v>1214</v>
      </c>
      <c r="D533" s="80" t="s">
        <v>162</v>
      </c>
      <c r="E533" s="116" t="s">
        <v>164</v>
      </c>
      <c r="F533" s="80" t="s">
        <v>503</v>
      </c>
      <c r="G533" s="80" t="s">
        <v>456</v>
      </c>
      <c r="H533" s="80">
        <v>0</v>
      </c>
      <c r="I533" s="80" t="s">
        <v>456</v>
      </c>
      <c r="J533" s="79">
        <v>3</v>
      </c>
      <c r="K533" s="79">
        <v>0</v>
      </c>
      <c r="L533" s="79">
        <v>0</v>
      </c>
      <c r="M533" s="79" t="s">
        <v>579</v>
      </c>
      <c r="N533" s="79" t="s">
        <v>452</v>
      </c>
      <c r="O533" s="79" t="s">
        <v>453</v>
      </c>
      <c r="P533" s="79" t="s">
        <v>453</v>
      </c>
      <c r="Q533" s="79" t="s">
        <v>453</v>
      </c>
    </row>
    <row r="534" spans="1:17" ht="26.4">
      <c r="A534" s="172">
        <f t="shared" ref="A534:A597" si="9">A533+1</f>
        <v>531</v>
      </c>
      <c r="B534" s="80" t="s">
        <v>1215</v>
      </c>
      <c r="C534" s="80" t="s">
        <v>1055</v>
      </c>
      <c r="F534" s="80" t="s">
        <v>976</v>
      </c>
      <c r="G534" s="80" t="s">
        <v>456</v>
      </c>
      <c r="H534" s="80">
        <v>0</v>
      </c>
      <c r="I534" s="80" t="s">
        <v>456</v>
      </c>
      <c r="J534" s="79">
        <v>4</v>
      </c>
      <c r="K534" s="79">
        <v>0</v>
      </c>
      <c r="L534" s="79">
        <v>0</v>
      </c>
      <c r="M534" s="79" t="s">
        <v>579</v>
      </c>
      <c r="N534" s="79" t="s">
        <v>977</v>
      </c>
      <c r="O534" s="79" t="s">
        <v>453</v>
      </c>
      <c r="P534" s="79" t="s">
        <v>453</v>
      </c>
      <c r="Q534" s="79" t="s">
        <v>453</v>
      </c>
    </row>
    <row r="535" spans="1:17" ht="26.4">
      <c r="A535" s="172">
        <f t="shared" si="9"/>
        <v>532</v>
      </c>
      <c r="B535" s="80" t="s">
        <v>1216</v>
      </c>
      <c r="C535" s="80" t="s">
        <v>1057</v>
      </c>
      <c r="F535" s="80" t="s">
        <v>976</v>
      </c>
      <c r="G535" s="80" t="s">
        <v>456</v>
      </c>
      <c r="H535" s="80">
        <v>0</v>
      </c>
      <c r="I535" s="80" t="s">
        <v>456</v>
      </c>
      <c r="J535" s="79">
        <v>4</v>
      </c>
      <c r="K535" s="79">
        <v>0</v>
      </c>
      <c r="L535" s="79">
        <v>0</v>
      </c>
      <c r="M535" s="79" t="s">
        <v>579</v>
      </c>
      <c r="N535" s="79" t="s">
        <v>977</v>
      </c>
      <c r="O535" s="79" t="s">
        <v>453</v>
      </c>
      <c r="P535" s="79" t="s">
        <v>453</v>
      </c>
      <c r="Q535" s="79" t="s">
        <v>453</v>
      </c>
    </row>
    <row r="536" spans="1:17">
      <c r="A536" s="172">
        <f t="shared" si="9"/>
        <v>533</v>
      </c>
      <c r="B536" s="80" t="s">
        <v>1217</v>
      </c>
      <c r="C536" s="80" t="s">
        <v>1059</v>
      </c>
      <c r="F536" s="80" t="s">
        <v>976</v>
      </c>
      <c r="G536" s="80" t="s">
        <v>456</v>
      </c>
      <c r="H536" s="80">
        <v>0</v>
      </c>
      <c r="I536" s="80" t="s">
        <v>456</v>
      </c>
      <c r="J536" s="79">
        <v>4</v>
      </c>
      <c r="K536" s="79">
        <v>0</v>
      </c>
      <c r="L536" s="79">
        <v>0</v>
      </c>
      <c r="M536" s="79" t="s">
        <v>579</v>
      </c>
      <c r="N536" s="79" t="s">
        <v>977</v>
      </c>
      <c r="O536" s="79" t="s">
        <v>453</v>
      </c>
      <c r="P536" s="79" t="s">
        <v>453</v>
      </c>
      <c r="Q536" s="79" t="s">
        <v>453</v>
      </c>
    </row>
    <row r="537" spans="1:17" ht="26.4">
      <c r="A537" s="172">
        <f t="shared" si="9"/>
        <v>534</v>
      </c>
      <c r="B537" s="80" t="s">
        <v>1218</v>
      </c>
      <c r="C537" s="80" t="s">
        <v>1061</v>
      </c>
      <c r="F537" s="80" t="s">
        <v>976</v>
      </c>
      <c r="G537" s="80" t="s">
        <v>456</v>
      </c>
      <c r="H537" s="80">
        <v>0</v>
      </c>
      <c r="I537" s="80" t="s">
        <v>456</v>
      </c>
      <c r="J537" s="79">
        <v>12</v>
      </c>
      <c r="K537" s="79">
        <v>0</v>
      </c>
      <c r="L537" s="79">
        <v>0</v>
      </c>
      <c r="M537" s="79" t="s">
        <v>579</v>
      </c>
      <c r="N537" s="79" t="s">
        <v>977</v>
      </c>
      <c r="O537" s="79" t="s">
        <v>453</v>
      </c>
      <c r="P537" s="79" t="s">
        <v>453</v>
      </c>
      <c r="Q537" s="79" t="s">
        <v>453</v>
      </c>
    </row>
    <row r="538" spans="1:17" ht="26.4">
      <c r="A538" s="172">
        <f t="shared" si="9"/>
        <v>535</v>
      </c>
      <c r="B538" s="80" t="s">
        <v>1219</v>
      </c>
      <c r="C538" s="80" t="s">
        <v>1067</v>
      </c>
      <c r="F538" s="80" t="s">
        <v>976</v>
      </c>
      <c r="G538" s="80" t="s">
        <v>456</v>
      </c>
      <c r="H538" s="80">
        <v>0</v>
      </c>
      <c r="I538" s="80" t="s">
        <v>456</v>
      </c>
      <c r="J538" s="79">
        <v>12</v>
      </c>
      <c r="K538" s="79">
        <v>0</v>
      </c>
      <c r="L538" s="79">
        <v>0</v>
      </c>
      <c r="M538" s="79" t="s">
        <v>579</v>
      </c>
      <c r="N538" s="79" t="s">
        <v>977</v>
      </c>
      <c r="O538" s="79" t="s">
        <v>453</v>
      </c>
      <c r="P538" s="79" t="s">
        <v>453</v>
      </c>
      <c r="Q538" s="79" t="s">
        <v>453</v>
      </c>
    </row>
    <row r="539" spans="1:17" ht="26.4">
      <c r="A539" s="172">
        <f t="shared" si="9"/>
        <v>536</v>
      </c>
      <c r="B539" s="80" t="s">
        <v>1220</v>
      </c>
      <c r="C539" s="80" t="s">
        <v>1069</v>
      </c>
      <c r="F539" s="80" t="s">
        <v>976</v>
      </c>
      <c r="H539" s="80">
        <v>0</v>
      </c>
      <c r="I539" s="80" t="s">
        <v>450</v>
      </c>
      <c r="J539" s="79">
        <v>4</v>
      </c>
      <c r="K539" s="79">
        <v>0</v>
      </c>
      <c r="L539" s="79">
        <v>0</v>
      </c>
      <c r="M539" s="79" t="s">
        <v>579</v>
      </c>
      <c r="N539" s="79" t="s">
        <v>977</v>
      </c>
      <c r="O539" s="79" t="s">
        <v>453</v>
      </c>
      <c r="P539" s="79" t="s">
        <v>453</v>
      </c>
      <c r="Q539" s="79" t="s">
        <v>453</v>
      </c>
    </row>
    <row r="540" spans="1:17" ht="26.4">
      <c r="A540" s="172">
        <f t="shared" si="9"/>
        <v>537</v>
      </c>
      <c r="B540" s="80" t="s">
        <v>1221</v>
      </c>
      <c r="C540" s="80" t="s">
        <v>1071</v>
      </c>
      <c r="F540" s="80" t="s">
        <v>976</v>
      </c>
      <c r="H540" s="80">
        <v>0</v>
      </c>
      <c r="I540" s="80" t="s">
        <v>450</v>
      </c>
      <c r="J540" s="79">
        <v>4</v>
      </c>
      <c r="K540" s="79">
        <v>0</v>
      </c>
      <c r="L540" s="79">
        <v>0</v>
      </c>
      <c r="M540" s="79" t="s">
        <v>579</v>
      </c>
      <c r="N540" s="79" t="s">
        <v>977</v>
      </c>
      <c r="O540" s="79" t="s">
        <v>453</v>
      </c>
      <c r="P540" s="79" t="s">
        <v>453</v>
      </c>
      <c r="Q540" s="79" t="s">
        <v>453</v>
      </c>
    </row>
    <row r="541" spans="1:17">
      <c r="A541" s="172">
        <f t="shared" si="9"/>
        <v>538</v>
      </c>
      <c r="B541" s="80" t="s">
        <v>1222</v>
      </c>
      <c r="C541" s="80" t="s">
        <v>1073</v>
      </c>
      <c r="F541" s="80" t="s">
        <v>976</v>
      </c>
      <c r="G541" s="80" t="s">
        <v>456</v>
      </c>
      <c r="H541" s="80">
        <v>0</v>
      </c>
      <c r="I541" s="80" t="s">
        <v>456</v>
      </c>
      <c r="J541" s="79">
        <v>12</v>
      </c>
      <c r="K541" s="79">
        <v>0</v>
      </c>
      <c r="L541" s="79">
        <v>0</v>
      </c>
      <c r="M541" s="79" t="s">
        <v>451</v>
      </c>
      <c r="N541" s="79" t="s">
        <v>977</v>
      </c>
      <c r="O541" s="79" t="s">
        <v>453</v>
      </c>
      <c r="P541" s="79" t="s">
        <v>453</v>
      </c>
      <c r="Q541" s="79" t="s">
        <v>453</v>
      </c>
    </row>
    <row r="542" spans="1:17" ht="26.4">
      <c r="A542" s="172">
        <f t="shared" si="9"/>
        <v>539</v>
      </c>
      <c r="B542" s="80" t="s">
        <v>1223</v>
      </c>
      <c r="C542" s="80" t="s">
        <v>1075</v>
      </c>
      <c r="F542" s="80" t="s">
        <v>976</v>
      </c>
      <c r="G542" s="80" t="s">
        <v>456</v>
      </c>
      <c r="H542" s="80">
        <v>0</v>
      </c>
      <c r="I542" s="80" t="s">
        <v>456</v>
      </c>
      <c r="J542" s="79">
        <v>12</v>
      </c>
      <c r="K542" s="79">
        <v>0</v>
      </c>
      <c r="L542" s="79">
        <v>0</v>
      </c>
      <c r="M542" s="79" t="s">
        <v>451</v>
      </c>
      <c r="N542" s="79" t="s">
        <v>977</v>
      </c>
      <c r="O542" s="79" t="s">
        <v>453</v>
      </c>
      <c r="P542" s="79" t="s">
        <v>453</v>
      </c>
      <c r="Q542" s="79" t="s">
        <v>453</v>
      </c>
    </row>
    <row r="543" spans="1:17" ht="26.4">
      <c r="A543" s="172">
        <f t="shared" si="9"/>
        <v>540</v>
      </c>
      <c r="B543" s="80" t="s">
        <v>1224</v>
      </c>
      <c r="C543" s="80" t="s">
        <v>1077</v>
      </c>
      <c r="F543" s="80" t="s">
        <v>976</v>
      </c>
      <c r="G543" s="80" t="s">
        <v>456</v>
      </c>
      <c r="H543" s="80">
        <v>0</v>
      </c>
      <c r="I543" s="80" t="s">
        <v>456</v>
      </c>
      <c r="J543" s="79">
        <v>12</v>
      </c>
      <c r="K543" s="79">
        <v>0</v>
      </c>
      <c r="L543" s="79">
        <v>0</v>
      </c>
      <c r="M543" s="79" t="s">
        <v>451</v>
      </c>
      <c r="N543" s="79" t="s">
        <v>977</v>
      </c>
      <c r="O543" s="79" t="s">
        <v>453</v>
      </c>
      <c r="P543" s="79" t="s">
        <v>453</v>
      </c>
      <c r="Q543" s="79" t="s">
        <v>453</v>
      </c>
    </row>
    <row r="544" spans="1:17">
      <c r="A544" s="172">
        <f t="shared" si="9"/>
        <v>541</v>
      </c>
      <c r="B544" s="80" t="s">
        <v>1225</v>
      </c>
      <c r="C544" s="80" t="s">
        <v>1079</v>
      </c>
      <c r="F544" s="80" t="s">
        <v>976</v>
      </c>
      <c r="G544" s="80" t="s">
        <v>456</v>
      </c>
      <c r="H544" s="80">
        <v>0</v>
      </c>
      <c r="I544" s="80" t="s">
        <v>456</v>
      </c>
      <c r="J544" s="79">
        <v>4</v>
      </c>
      <c r="K544" s="79">
        <v>0</v>
      </c>
      <c r="L544" s="79">
        <v>0</v>
      </c>
      <c r="M544" s="79" t="s">
        <v>579</v>
      </c>
      <c r="N544" s="79" t="s">
        <v>977</v>
      </c>
      <c r="O544" s="79" t="s">
        <v>453</v>
      </c>
      <c r="P544" s="79" t="s">
        <v>453</v>
      </c>
      <c r="Q544" s="79" t="s">
        <v>453</v>
      </c>
    </row>
    <row r="545" spans="1:17">
      <c r="A545" s="172">
        <f t="shared" si="9"/>
        <v>542</v>
      </c>
      <c r="B545" s="80" t="s">
        <v>1226</v>
      </c>
      <c r="C545" s="80" t="s">
        <v>1227</v>
      </c>
      <c r="D545" s="80" t="s">
        <v>1226</v>
      </c>
      <c r="E545" s="116" t="s">
        <v>196</v>
      </c>
      <c r="F545" s="80" t="s">
        <v>503</v>
      </c>
      <c r="G545" s="80" t="s">
        <v>459</v>
      </c>
      <c r="H545" s="80" t="s">
        <v>449</v>
      </c>
      <c r="I545" s="80" t="s">
        <v>450</v>
      </c>
      <c r="J545" s="79">
        <v>1</v>
      </c>
      <c r="K545" s="79">
        <v>0</v>
      </c>
      <c r="L545" s="79">
        <v>0</v>
      </c>
      <c r="M545" s="79" t="s">
        <v>451</v>
      </c>
      <c r="N545" s="79" t="s">
        <v>452</v>
      </c>
      <c r="O545" s="79" t="s">
        <v>453</v>
      </c>
      <c r="P545" s="79" t="s">
        <v>453</v>
      </c>
      <c r="Q545" s="79" t="s">
        <v>453</v>
      </c>
    </row>
    <row r="546" spans="1:17" ht="26.4">
      <c r="A546" s="172">
        <f t="shared" si="9"/>
        <v>543</v>
      </c>
      <c r="B546" s="80" t="s">
        <v>1228</v>
      </c>
      <c r="C546" s="80" t="s">
        <v>1085</v>
      </c>
      <c r="F546" s="80" t="s">
        <v>976</v>
      </c>
      <c r="G546" s="80" t="s">
        <v>456</v>
      </c>
      <c r="H546" s="80">
        <v>0</v>
      </c>
      <c r="I546" s="80" t="s">
        <v>456</v>
      </c>
      <c r="J546" s="79">
        <v>4</v>
      </c>
      <c r="K546" s="79">
        <v>0</v>
      </c>
      <c r="L546" s="79">
        <v>0</v>
      </c>
      <c r="M546" s="79" t="s">
        <v>579</v>
      </c>
      <c r="N546" s="79" t="s">
        <v>977</v>
      </c>
      <c r="O546" s="79" t="s">
        <v>453</v>
      </c>
      <c r="P546" s="79" t="s">
        <v>453</v>
      </c>
      <c r="Q546" s="79" t="s">
        <v>453</v>
      </c>
    </row>
    <row r="547" spans="1:17">
      <c r="A547" s="172">
        <f t="shared" si="9"/>
        <v>544</v>
      </c>
      <c r="B547" s="80" t="s">
        <v>1229</v>
      </c>
      <c r="C547" s="80" t="s">
        <v>1087</v>
      </c>
      <c r="F547" s="80" t="s">
        <v>976</v>
      </c>
      <c r="G547" s="80" t="s">
        <v>456</v>
      </c>
      <c r="H547" s="80">
        <v>0</v>
      </c>
      <c r="I547" s="80" t="s">
        <v>456</v>
      </c>
      <c r="J547" s="79">
        <v>4</v>
      </c>
      <c r="K547" s="79">
        <v>0</v>
      </c>
      <c r="L547" s="79">
        <v>0</v>
      </c>
      <c r="M547" s="79" t="s">
        <v>579</v>
      </c>
      <c r="N547" s="79" t="s">
        <v>977</v>
      </c>
      <c r="O547" s="79" t="s">
        <v>453</v>
      </c>
      <c r="P547" s="79" t="s">
        <v>453</v>
      </c>
      <c r="Q547" s="79" t="s">
        <v>453</v>
      </c>
    </row>
    <row r="548" spans="1:17" ht="26.4">
      <c r="A548" s="172">
        <f t="shared" si="9"/>
        <v>545</v>
      </c>
      <c r="B548" s="80" t="s">
        <v>1230</v>
      </c>
      <c r="C548" s="80" t="s">
        <v>1089</v>
      </c>
      <c r="F548" s="80" t="s">
        <v>976</v>
      </c>
      <c r="G548" s="80" t="s">
        <v>456</v>
      </c>
      <c r="H548" s="80">
        <v>0</v>
      </c>
      <c r="I548" s="80" t="s">
        <v>456</v>
      </c>
      <c r="J548" s="79">
        <v>4</v>
      </c>
      <c r="K548" s="79">
        <v>0</v>
      </c>
      <c r="L548" s="79">
        <v>0</v>
      </c>
      <c r="M548" s="79" t="s">
        <v>579</v>
      </c>
      <c r="N548" s="79" t="s">
        <v>977</v>
      </c>
      <c r="O548" s="79" t="s">
        <v>453</v>
      </c>
      <c r="P548" s="79" t="s">
        <v>453</v>
      </c>
      <c r="Q548" s="79" t="s">
        <v>453</v>
      </c>
    </row>
    <row r="549" spans="1:17">
      <c r="A549" s="172">
        <f t="shared" si="9"/>
        <v>546</v>
      </c>
      <c r="B549" s="80" t="s">
        <v>1231</v>
      </c>
      <c r="C549" s="80" t="s">
        <v>1091</v>
      </c>
      <c r="F549" s="80" t="s">
        <v>976</v>
      </c>
      <c r="G549" s="80" t="s">
        <v>456</v>
      </c>
      <c r="H549" s="80">
        <v>0</v>
      </c>
      <c r="I549" s="80" t="s">
        <v>456</v>
      </c>
      <c r="J549" s="79">
        <v>4</v>
      </c>
      <c r="K549" s="79">
        <v>0</v>
      </c>
      <c r="L549" s="79">
        <v>0</v>
      </c>
      <c r="M549" s="79" t="s">
        <v>579</v>
      </c>
      <c r="N549" s="79" t="s">
        <v>977</v>
      </c>
      <c r="O549" s="79" t="s">
        <v>453</v>
      </c>
      <c r="P549" s="79" t="s">
        <v>453</v>
      </c>
      <c r="Q549" s="79" t="s">
        <v>453</v>
      </c>
    </row>
    <row r="550" spans="1:17">
      <c r="A550" s="172">
        <f t="shared" si="9"/>
        <v>547</v>
      </c>
      <c r="B550" s="80" t="s">
        <v>1232</v>
      </c>
      <c r="C550" s="80" t="s">
        <v>1093</v>
      </c>
      <c r="F550" s="80" t="s">
        <v>976</v>
      </c>
      <c r="G550" s="80" t="s">
        <v>456</v>
      </c>
      <c r="H550" s="80">
        <v>0</v>
      </c>
      <c r="I550" s="80" t="s">
        <v>456</v>
      </c>
      <c r="J550" s="79">
        <v>4</v>
      </c>
      <c r="K550" s="79">
        <v>0</v>
      </c>
      <c r="L550" s="79">
        <v>0</v>
      </c>
      <c r="M550" s="79" t="s">
        <v>579</v>
      </c>
      <c r="N550" s="79" t="s">
        <v>977</v>
      </c>
      <c r="O550" s="79" t="s">
        <v>453</v>
      </c>
      <c r="P550" s="79" t="s">
        <v>453</v>
      </c>
      <c r="Q550" s="79" t="s">
        <v>453</v>
      </c>
    </row>
    <row r="551" spans="1:17">
      <c r="A551" s="172">
        <f t="shared" si="9"/>
        <v>548</v>
      </c>
      <c r="B551" s="80" t="s">
        <v>1233</v>
      </c>
      <c r="C551" s="80" t="s">
        <v>1095</v>
      </c>
      <c r="F551" s="80" t="s">
        <v>976</v>
      </c>
      <c r="G551" s="80" t="s">
        <v>456</v>
      </c>
      <c r="H551" s="80">
        <v>0</v>
      </c>
      <c r="I551" s="80" t="s">
        <v>456</v>
      </c>
      <c r="J551" s="79">
        <v>4</v>
      </c>
      <c r="K551" s="79">
        <v>0</v>
      </c>
      <c r="L551" s="79">
        <v>0</v>
      </c>
      <c r="M551" s="79" t="s">
        <v>579</v>
      </c>
      <c r="N551" s="79" t="s">
        <v>977</v>
      </c>
      <c r="O551" s="79" t="s">
        <v>453</v>
      </c>
      <c r="P551" s="79" t="s">
        <v>453</v>
      </c>
      <c r="Q551" s="79" t="s">
        <v>453</v>
      </c>
    </row>
    <row r="552" spans="1:17">
      <c r="A552" s="172">
        <f t="shared" si="9"/>
        <v>549</v>
      </c>
      <c r="B552" s="80" t="s">
        <v>1234</v>
      </c>
      <c r="C552" s="80" t="s">
        <v>1097</v>
      </c>
      <c r="F552" s="80" t="s">
        <v>976</v>
      </c>
      <c r="G552" s="80" t="s">
        <v>456</v>
      </c>
      <c r="H552" s="80">
        <v>0</v>
      </c>
      <c r="I552" s="80" t="s">
        <v>456</v>
      </c>
      <c r="J552" s="79">
        <v>12</v>
      </c>
      <c r="K552" s="79">
        <v>0</v>
      </c>
      <c r="L552" s="79">
        <v>0</v>
      </c>
      <c r="M552" s="79" t="s">
        <v>579</v>
      </c>
      <c r="N552" s="79" t="s">
        <v>977</v>
      </c>
      <c r="O552" s="79" t="s">
        <v>453</v>
      </c>
      <c r="P552" s="79" t="s">
        <v>453</v>
      </c>
      <c r="Q552" s="79" t="s">
        <v>453</v>
      </c>
    </row>
    <row r="553" spans="1:17">
      <c r="A553" s="172">
        <f t="shared" si="9"/>
        <v>550</v>
      </c>
      <c r="B553" s="80" t="s">
        <v>1235</v>
      </c>
      <c r="C553" s="80" t="s">
        <v>1099</v>
      </c>
      <c r="F553" s="80" t="s">
        <v>976</v>
      </c>
      <c r="G553" s="80" t="s">
        <v>456</v>
      </c>
      <c r="H553" s="80">
        <v>0</v>
      </c>
      <c r="I553" s="80" t="s">
        <v>456</v>
      </c>
      <c r="J553" s="79">
        <v>4</v>
      </c>
      <c r="K553" s="79">
        <v>0</v>
      </c>
      <c r="L553" s="79">
        <v>0</v>
      </c>
      <c r="M553" s="79" t="s">
        <v>579</v>
      </c>
      <c r="N553" s="79" t="s">
        <v>977</v>
      </c>
      <c r="O553" s="79" t="s">
        <v>453</v>
      </c>
      <c r="P553" s="79" t="s">
        <v>453</v>
      </c>
      <c r="Q553" s="79" t="s">
        <v>453</v>
      </c>
    </row>
    <row r="554" spans="1:17" ht="26.4">
      <c r="A554" s="172">
        <f t="shared" si="9"/>
        <v>551</v>
      </c>
      <c r="B554" s="80" t="s">
        <v>1236</v>
      </c>
      <c r="C554" s="80" t="s">
        <v>1101</v>
      </c>
      <c r="F554" s="80" t="s">
        <v>976</v>
      </c>
      <c r="G554" s="80" t="s">
        <v>456</v>
      </c>
      <c r="H554" s="80">
        <v>0</v>
      </c>
      <c r="I554" s="80" t="s">
        <v>456</v>
      </c>
      <c r="J554" s="79">
        <v>4</v>
      </c>
      <c r="K554" s="79">
        <v>0</v>
      </c>
      <c r="L554" s="79">
        <v>0</v>
      </c>
      <c r="M554" s="79" t="s">
        <v>579</v>
      </c>
      <c r="N554" s="79" t="s">
        <v>977</v>
      </c>
      <c r="O554" s="79" t="s">
        <v>453</v>
      </c>
      <c r="P554" s="79" t="s">
        <v>453</v>
      </c>
      <c r="Q554" s="79" t="s">
        <v>453</v>
      </c>
    </row>
    <row r="555" spans="1:17" ht="26.4">
      <c r="A555" s="172">
        <f t="shared" si="9"/>
        <v>552</v>
      </c>
      <c r="B555" s="80" t="s">
        <v>1237</v>
      </c>
      <c r="C555" s="80" t="s">
        <v>1103</v>
      </c>
      <c r="F555" s="80" t="s">
        <v>976</v>
      </c>
      <c r="G555" s="80" t="s">
        <v>456</v>
      </c>
      <c r="H555" s="80">
        <v>0</v>
      </c>
      <c r="I555" s="80" t="s">
        <v>456</v>
      </c>
      <c r="J555" s="79">
        <v>12</v>
      </c>
      <c r="K555" s="79">
        <v>0</v>
      </c>
      <c r="L555" s="79">
        <v>0</v>
      </c>
      <c r="M555" s="79" t="s">
        <v>579</v>
      </c>
      <c r="N555" s="79" t="s">
        <v>977</v>
      </c>
      <c r="O555" s="79" t="s">
        <v>453</v>
      </c>
      <c r="P555" s="79" t="s">
        <v>453</v>
      </c>
      <c r="Q555" s="79" t="s">
        <v>453</v>
      </c>
    </row>
    <row r="556" spans="1:17" ht="26.4">
      <c r="A556" s="172">
        <f t="shared" si="9"/>
        <v>553</v>
      </c>
      <c r="B556" s="80" t="s">
        <v>1238</v>
      </c>
      <c r="C556" s="80" t="s">
        <v>1105</v>
      </c>
      <c r="F556" s="80" t="s">
        <v>976</v>
      </c>
      <c r="G556" s="80" t="s">
        <v>456</v>
      </c>
      <c r="H556" s="80">
        <v>0</v>
      </c>
      <c r="I556" s="80" t="s">
        <v>456</v>
      </c>
      <c r="J556" s="79">
        <v>4</v>
      </c>
      <c r="K556" s="79">
        <v>0</v>
      </c>
      <c r="L556" s="79">
        <v>0</v>
      </c>
      <c r="M556" s="79" t="s">
        <v>579</v>
      </c>
      <c r="N556" s="79" t="s">
        <v>977</v>
      </c>
      <c r="O556" s="79" t="s">
        <v>453</v>
      </c>
      <c r="P556" s="79" t="s">
        <v>453</v>
      </c>
      <c r="Q556" s="79" t="s">
        <v>453</v>
      </c>
    </row>
    <row r="557" spans="1:17" ht="26.4">
      <c r="A557" s="172">
        <f t="shared" si="9"/>
        <v>554</v>
      </c>
      <c r="B557" s="80" t="s">
        <v>1239</v>
      </c>
      <c r="C557" s="80" t="s">
        <v>1107</v>
      </c>
      <c r="F557" s="80" t="s">
        <v>976</v>
      </c>
      <c r="G557" s="80" t="s">
        <v>456</v>
      </c>
      <c r="H557" s="80">
        <v>0</v>
      </c>
      <c r="I557" s="80" t="s">
        <v>456</v>
      </c>
      <c r="J557" s="79">
        <v>12</v>
      </c>
      <c r="K557" s="79">
        <v>0</v>
      </c>
      <c r="L557" s="79">
        <v>0</v>
      </c>
      <c r="M557" s="79" t="s">
        <v>579</v>
      </c>
      <c r="N557" s="79" t="s">
        <v>977</v>
      </c>
      <c r="O557" s="79" t="s">
        <v>453</v>
      </c>
      <c r="P557" s="79" t="s">
        <v>453</v>
      </c>
      <c r="Q557" s="79" t="s">
        <v>453</v>
      </c>
    </row>
    <row r="558" spans="1:17" ht="26.4">
      <c r="A558" s="172">
        <f t="shared" si="9"/>
        <v>555</v>
      </c>
      <c r="B558" s="80" t="s">
        <v>1240</v>
      </c>
      <c r="C558" s="80" t="s">
        <v>1109</v>
      </c>
      <c r="F558" s="80" t="s">
        <v>976</v>
      </c>
      <c r="G558" s="80" t="s">
        <v>456</v>
      </c>
      <c r="H558" s="80">
        <v>0</v>
      </c>
      <c r="I558" s="80" t="s">
        <v>456</v>
      </c>
      <c r="J558" s="79">
        <v>4</v>
      </c>
      <c r="K558" s="79">
        <v>0</v>
      </c>
      <c r="L558" s="79">
        <v>0</v>
      </c>
      <c r="M558" s="79" t="s">
        <v>579</v>
      </c>
      <c r="N558" s="79" t="s">
        <v>977</v>
      </c>
      <c r="O558" s="79" t="s">
        <v>453</v>
      </c>
      <c r="P558" s="79" t="s">
        <v>453</v>
      </c>
      <c r="Q558" s="79" t="s">
        <v>453</v>
      </c>
    </row>
    <row r="559" spans="1:17" ht="26.4">
      <c r="A559" s="172">
        <f t="shared" si="9"/>
        <v>556</v>
      </c>
      <c r="B559" s="80" t="s">
        <v>1241</v>
      </c>
      <c r="C559" s="80" t="s">
        <v>1111</v>
      </c>
      <c r="F559" s="80" t="s">
        <v>976</v>
      </c>
      <c r="G559" s="80" t="s">
        <v>456</v>
      </c>
      <c r="H559" s="80">
        <v>0</v>
      </c>
      <c r="I559" s="80" t="s">
        <v>456</v>
      </c>
      <c r="J559" s="79">
        <v>4</v>
      </c>
      <c r="K559" s="79">
        <v>0</v>
      </c>
      <c r="L559" s="79">
        <v>0</v>
      </c>
      <c r="M559" s="79" t="s">
        <v>579</v>
      </c>
      <c r="N559" s="79" t="s">
        <v>977</v>
      </c>
      <c r="O559" s="79" t="s">
        <v>453</v>
      </c>
      <c r="P559" s="79" t="s">
        <v>453</v>
      </c>
      <c r="Q559" s="79" t="s">
        <v>453</v>
      </c>
    </row>
    <row r="560" spans="1:17" ht="26.4">
      <c r="A560" s="172">
        <f t="shared" si="9"/>
        <v>557</v>
      </c>
      <c r="B560" s="80" t="s">
        <v>1242</v>
      </c>
      <c r="C560" s="80" t="s">
        <v>1113</v>
      </c>
      <c r="F560" s="80" t="s">
        <v>976</v>
      </c>
      <c r="G560" s="80" t="s">
        <v>456</v>
      </c>
      <c r="H560" s="80">
        <v>0</v>
      </c>
      <c r="I560" s="80" t="s">
        <v>456</v>
      </c>
      <c r="J560" s="79">
        <v>4</v>
      </c>
      <c r="K560" s="79">
        <v>0</v>
      </c>
      <c r="L560" s="79">
        <v>0</v>
      </c>
      <c r="M560" s="79" t="s">
        <v>579</v>
      </c>
      <c r="N560" s="79" t="s">
        <v>977</v>
      </c>
      <c r="O560" s="79" t="s">
        <v>453</v>
      </c>
      <c r="P560" s="79" t="s">
        <v>453</v>
      </c>
      <c r="Q560" s="79" t="s">
        <v>453</v>
      </c>
    </row>
    <row r="561" spans="1:17" ht="26.4">
      <c r="A561" s="172">
        <f t="shared" si="9"/>
        <v>558</v>
      </c>
      <c r="B561" s="80" t="s">
        <v>1243</v>
      </c>
      <c r="C561" s="80" t="s">
        <v>1115</v>
      </c>
      <c r="F561" s="80" t="s">
        <v>976</v>
      </c>
      <c r="G561" s="80" t="s">
        <v>456</v>
      </c>
      <c r="H561" s="80">
        <v>0</v>
      </c>
      <c r="I561" s="80" t="s">
        <v>456</v>
      </c>
      <c r="J561" s="79">
        <v>4</v>
      </c>
      <c r="K561" s="79">
        <v>0</v>
      </c>
      <c r="L561" s="79">
        <v>0</v>
      </c>
      <c r="M561" s="79" t="s">
        <v>579</v>
      </c>
      <c r="N561" s="79" t="s">
        <v>977</v>
      </c>
      <c r="O561" s="79" t="s">
        <v>453</v>
      </c>
      <c r="P561" s="79" t="s">
        <v>453</v>
      </c>
      <c r="Q561" s="79" t="s">
        <v>453</v>
      </c>
    </row>
    <row r="562" spans="1:17" ht="26.4">
      <c r="A562" s="172">
        <f t="shared" si="9"/>
        <v>559</v>
      </c>
      <c r="B562" s="80" t="s">
        <v>1244</v>
      </c>
      <c r="C562" s="80" t="s">
        <v>1117</v>
      </c>
      <c r="F562" s="80" t="s">
        <v>976</v>
      </c>
      <c r="G562" s="80" t="s">
        <v>456</v>
      </c>
      <c r="H562" s="80">
        <v>0</v>
      </c>
      <c r="I562" s="80" t="s">
        <v>456</v>
      </c>
      <c r="J562" s="79">
        <v>4</v>
      </c>
      <c r="K562" s="79">
        <v>0</v>
      </c>
      <c r="L562" s="79">
        <v>0</v>
      </c>
      <c r="M562" s="79" t="s">
        <v>579</v>
      </c>
      <c r="N562" s="79" t="s">
        <v>977</v>
      </c>
      <c r="O562" s="79" t="s">
        <v>453</v>
      </c>
      <c r="P562" s="79" t="s">
        <v>453</v>
      </c>
      <c r="Q562" s="79" t="s">
        <v>453</v>
      </c>
    </row>
    <row r="563" spans="1:17" ht="26.4">
      <c r="A563" s="172">
        <f t="shared" si="9"/>
        <v>560</v>
      </c>
      <c r="B563" s="80" t="s">
        <v>1245</v>
      </c>
      <c r="C563" s="80" t="s">
        <v>1119</v>
      </c>
      <c r="F563" s="80" t="s">
        <v>976</v>
      </c>
      <c r="G563" s="80" t="s">
        <v>456</v>
      </c>
      <c r="H563" s="80">
        <v>0</v>
      </c>
      <c r="I563" s="80" t="s">
        <v>456</v>
      </c>
      <c r="J563" s="79">
        <v>4</v>
      </c>
      <c r="K563" s="79">
        <v>0</v>
      </c>
      <c r="L563" s="79">
        <v>0</v>
      </c>
      <c r="M563" s="79" t="s">
        <v>579</v>
      </c>
      <c r="N563" s="79" t="s">
        <v>977</v>
      </c>
      <c r="O563" s="79" t="s">
        <v>453</v>
      </c>
      <c r="P563" s="79" t="s">
        <v>453</v>
      </c>
      <c r="Q563" s="79" t="s">
        <v>453</v>
      </c>
    </row>
    <row r="564" spans="1:17" ht="26.4">
      <c r="A564" s="172">
        <f t="shared" si="9"/>
        <v>561</v>
      </c>
      <c r="B564" s="80" t="s">
        <v>1246</v>
      </c>
      <c r="C564" s="80" t="s">
        <v>1121</v>
      </c>
      <c r="F564" s="80" t="s">
        <v>976</v>
      </c>
      <c r="G564" s="80" t="s">
        <v>456</v>
      </c>
      <c r="H564" s="80">
        <v>0</v>
      </c>
      <c r="I564" s="80" t="s">
        <v>456</v>
      </c>
      <c r="J564" s="79">
        <v>4</v>
      </c>
      <c r="K564" s="79">
        <v>0</v>
      </c>
      <c r="L564" s="79">
        <v>0</v>
      </c>
      <c r="M564" s="79" t="s">
        <v>579</v>
      </c>
      <c r="N564" s="79" t="s">
        <v>977</v>
      </c>
      <c r="O564" s="79" t="s">
        <v>453</v>
      </c>
      <c r="P564" s="79" t="s">
        <v>453</v>
      </c>
      <c r="Q564" s="79" t="s">
        <v>453</v>
      </c>
    </row>
    <row r="565" spans="1:17" ht="26.4">
      <c r="A565" s="172">
        <f t="shared" si="9"/>
        <v>562</v>
      </c>
      <c r="B565" s="80" t="s">
        <v>1247</v>
      </c>
      <c r="C565" s="80" t="s">
        <v>1123</v>
      </c>
      <c r="F565" s="80" t="s">
        <v>976</v>
      </c>
      <c r="G565" s="80" t="s">
        <v>456</v>
      </c>
      <c r="H565" s="80">
        <v>0</v>
      </c>
      <c r="I565" s="80" t="s">
        <v>456</v>
      </c>
      <c r="J565" s="79">
        <v>4</v>
      </c>
      <c r="K565" s="79">
        <v>0</v>
      </c>
      <c r="L565" s="79">
        <v>0</v>
      </c>
      <c r="M565" s="79" t="s">
        <v>579</v>
      </c>
      <c r="N565" s="79" t="s">
        <v>977</v>
      </c>
      <c r="O565" s="79" t="s">
        <v>453</v>
      </c>
      <c r="P565" s="79" t="s">
        <v>453</v>
      </c>
      <c r="Q565" s="79" t="s">
        <v>453</v>
      </c>
    </row>
    <row r="566" spans="1:17" ht="26.4">
      <c r="A566" s="172">
        <f t="shared" si="9"/>
        <v>563</v>
      </c>
      <c r="B566" s="80" t="s">
        <v>1248</v>
      </c>
      <c r="C566" s="80" t="s">
        <v>1125</v>
      </c>
      <c r="F566" s="80" t="s">
        <v>976</v>
      </c>
      <c r="G566" s="80" t="s">
        <v>456</v>
      </c>
      <c r="H566" s="80">
        <v>0</v>
      </c>
      <c r="I566" s="80" t="s">
        <v>456</v>
      </c>
      <c r="J566" s="79">
        <v>4</v>
      </c>
      <c r="K566" s="79">
        <v>0</v>
      </c>
      <c r="L566" s="79">
        <v>0</v>
      </c>
      <c r="M566" s="79" t="s">
        <v>579</v>
      </c>
      <c r="N566" s="79" t="s">
        <v>977</v>
      </c>
      <c r="O566" s="79" t="s">
        <v>453</v>
      </c>
      <c r="P566" s="79" t="s">
        <v>453</v>
      </c>
      <c r="Q566" s="79" t="s">
        <v>453</v>
      </c>
    </row>
    <row r="567" spans="1:17" ht="26.4">
      <c r="A567" s="172">
        <f t="shared" si="9"/>
        <v>564</v>
      </c>
      <c r="B567" s="80" t="s">
        <v>1249</v>
      </c>
      <c r="C567" s="80" t="s">
        <v>1127</v>
      </c>
      <c r="F567" s="80" t="s">
        <v>976</v>
      </c>
      <c r="G567" s="80" t="s">
        <v>456</v>
      </c>
      <c r="H567" s="80">
        <v>0</v>
      </c>
      <c r="I567" s="80" t="s">
        <v>456</v>
      </c>
      <c r="J567" s="79">
        <v>4</v>
      </c>
      <c r="K567" s="79">
        <v>0</v>
      </c>
      <c r="L567" s="79">
        <v>0</v>
      </c>
      <c r="M567" s="79" t="s">
        <v>579</v>
      </c>
      <c r="N567" s="79" t="s">
        <v>977</v>
      </c>
      <c r="O567" s="79" t="s">
        <v>453</v>
      </c>
      <c r="P567" s="79" t="s">
        <v>453</v>
      </c>
      <c r="Q567" s="79" t="s">
        <v>453</v>
      </c>
    </row>
    <row r="568" spans="1:17" ht="26.4">
      <c r="A568" s="172">
        <f t="shared" si="9"/>
        <v>565</v>
      </c>
      <c r="B568" s="80" t="s">
        <v>1250</v>
      </c>
      <c r="C568" s="80" t="s">
        <v>1129</v>
      </c>
      <c r="F568" s="80" t="s">
        <v>976</v>
      </c>
      <c r="G568" s="80" t="s">
        <v>456</v>
      </c>
      <c r="H568" s="80">
        <v>0</v>
      </c>
      <c r="I568" s="80" t="s">
        <v>456</v>
      </c>
      <c r="J568" s="79">
        <v>4</v>
      </c>
      <c r="K568" s="79">
        <v>0</v>
      </c>
      <c r="L568" s="79">
        <v>0</v>
      </c>
      <c r="M568" s="79" t="s">
        <v>579</v>
      </c>
      <c r="N568" s="79" t="s">
        <v>977</v>
      </c>
      <c r="O568" s="79" t="s">
        <v>453</v>
      </c>
      <c r="P568" s="79" t="s">
        <v>453</v>
      </c>
      <c r="Q568" s="79" t="s">
        <v>453</v>
      </c>
    </row>
    <row r="569" spans="1:17" ht="26.4">
      <c r="A569" s="172">
        <f t="shared" si="9"/>
        <v>566</v>
      </c>
      <c r="B569" s="80" t="s">
        <v>1251</v>
      </c>
      <c r="C569" s="80" t="s">
        <v>1131</v>
      </c>
      <c r="F569" s="80" t="s">
        <v>976</v>
      </c>
      <c r="G569" s="80" t="s">
        <v>456</v>
      </c>
      <c r="H569" s="80">
        <v>0</v>
      </c>
      <c r="I569" s="80" t="s">
        <v>456</v>
      </c>
      <c r="J569" s="79">
        <v>4</v>
      </c>
      <c r="K569" s="79">
        <v>0</v>
      </c>
      <c r="L569" s="79">
        <v>0</v>
      </c>
      <c r="M569" s="79" t="s">
        <v>579</v>
      </c>
      <c r="N569" s="79" t="s">
        <v>977</v>
      </c>
      <c r="O569" s="79" t="s">
        <v>453</v>
      </c>
      <c r="P569" s="79" t="s">
        <v>453</v>
      </c>
      <c r="Q569" s="79" t="s">
        <v>453</v>
      </c>
    </row>
    <row r="570" spans="1:17" ht="26.4">
      <c r="A570" s="172">
        <f t="shared" si="9"/>
        <v>567</v>
      </c>
      <c r="B570" s="80" t="s">
        <v>1252</v>
      </c>
      <c r="C570" s="80" t="s">
        <v>1133</v>
      </c>
      <c r="F570" s="80" t="s">
        <v>976</v>
      </c>
      <c r="G570" s="80" t="s">
        <v>456</v>
      </c>
      <c r="H570" s="80">
        <v>0</v>
      </c>
      <c r="I570" s="80" t="s">
        <v>456</v>
      </c>
      <c r="J570" s="79">
        <v>4</v>
      </c>
      <c r="K570" s="79">
        <v>0</v>
      </c>
      <c r="L570" s="79">
        <v>0</v>
      </c>
      <c r="M570" s="79" t="s">
        <v>579</v>
      </c>
      <c r="N570" s="79" t="s">
        <v>977</v>
      </c>
      <c r="O570" s="79" t="s">
        <v>453</v>
      </c>
      <c r="P570" s="79" t="s">
        <v>453</v>
      </c>
      <c r="Q570" s="79" t="s">
        <v>453</v>
      </c>
    </row>
    <row r="571" spans="1:17" ht="26.4">
      <c r="A571" s="172">
        <f t="shared" si="9"/>
        <v>568</v>
      </c>
      <c r="B571" s="80" t="s">
        <v>1253</v>
      </c>
      <c r="C571" s="80" t="s">
        <v>1135</v>
      </c>
      <c r="F571" s="80" t="s">
        <v>976</v>
      </c>
      <c r="G571" s="80" t="s">
        <v>456</v>
      </c>
      <c r="H571" s="80">
        <v>0</v>
      </c>
      <c r="I571" s="80" t="s">
        <v>456</v>
      </c>
      <c r="J571" s="79">
        <v>4</v>
      </c>
      <c r="K571" s="79">
        <v>0</v>
      </c>
      <c r="L571" s="79">
        <v>0</v>
      </c>
      <c r="M571" s="79" t="s">
        <v>579</v>
      </c>
      <c r="N571" s="79" t="s">
        <v>977</v>
      </c>
      <c r="O571" s="79" t="s">
        <v>453</v>
      </c>
      <c r="P571" s="79" t="s">
        <v>453</v>
      </c>
      <c r="Q571" s="79" t="s">
        <v>453</v>
      </c>
    </row>
    <row r="572" spans="1:17" ht="26.4">
      <c r="A572" s="172">
        <f t="shared" si="9"/>
        <v>569</v>
      </c>
      <c r="B572" s="80" t="s">
        <v>1254</v>
      </c>
      <c r="C572" s="80" t="s">
        <v>1137</v>
      </c>
      <c r="F572" s="80" t="s">
        <v>976</v>
      </c>
      <c r="G572" s="80" t="s">
        <v>456</v>
      </c>
      <c r="H572" s="80">
        <v>0</v>
      </c>
      <c r="I572" s="80" t="s">
        <v>456</v>
      </c>
      <c r="J572" s="79">
        <v>4</v>
      </c>
      <c r="K572" s="79">
        <v>0</v>
      </c>
      <c r="L572" s="79">
        <v>0</v>
      </c>
      <c r="M572" s="79" t="s">
        <v>579</v>
      </c>
      <c r="N572" s="79" t="s">
        <v>977</v>
      </c>
      <c r="O572" s="79" t="s">
        <v>453</v>
      </c>
      <c r="P572" s="79" t="s">
        <v>453</v>
      </c>
      <c r="Q572" s="79" t="s">
        <v>453</v>
      </c>
    </row>
    <row r="573" spans="1:17" ht="26.4">
      <c r="A573" s="172">
        <f t="shared" si="9"/>
        <v>570</v>
      </c>
      <c r="B573" s="80" t="s">
        <v>1255</v>
      </c>
      <c r="C573" s="80" t="s">
        <v>1139</v>
      </c>
      <c r="F573" s="80" t="s">
        <v>976</v>
      </c>
      <c r="G573" s="80" t="s">
        <v>456</v>
      </c>
      <c r="H573" s="80">
        <v>0</v>
      </c>
      <c r="I573" s="80" t="s">
        <v>456</v>
      </c>
      <c r="J573" s="79">
        <v>4</v>
      </c>
      <c r="K573" s="79">
        <v>0</v>
      </c>
      <c r="L573" s="79">
        <v>0</v>
      </c>
      <c r="M573" s="79" t="s">
        <v>579</v>
      </c>
      <c r="N573" s="79" t="s">
        <v>977</v>
      </c>
      <c r="O573" s="79" t="s">
        <v>453</v>
      </c>
      <c r="P573" s="79" t="s">
        <v>453</v>
      </c>
      <c r="Q573" s="79" t="s">
        <v>453</v>
      </c>
    </row>
    <row r="574" spans="1:17" ht="26.4">
      <c r="A574" s="172">
        <f t="shared" si="9"/>
        <v>571</v>
      </c>
      <c r="B574" s="80" t="s">
        <v>1256</v>
      </c>
      <c r="C574" s="80" t="s">
        <v>1141</v>
      </c>
      <c r="F574" s="80" t="s">
        <v>976</v>
      </c>
      <c r="G574" s="80" t="s">
        <v>456</v>
      </c>
      <c r="H574" s="80">
        <v>0</v>
      </c>
      <c r="I574" s="80" t="s">
        <v>456</v>
      </c>
      <c r="J574" s="79">
        <v>4</v>
      </c>
      <c r="K574" s="79">
        <v>0</v>
      </c>
      <c r="L574" s="79">
        <v>0</v>
      </c>
      <c r="M574" s="79" t="s">
        <v>579</v>
      </c>
      <c r="N574" s="79" t="s">
        <v>977</v>
      </c>
      <c r="O574" s="79" t="s">
        <v>453</v>
      </c>
      <c r="P574" s="79" t="s">
        <v>453</v>
      </c>
      <c r="Q574" s="79" t="s">
        <v>453</v>
      </c>
    </row>
    <row r="575" spans="1:17" ht="26.4">
      <c r="A575" s="172">
        <f t="shared" si="9"/>
        <v>572</v>
      </c>
      <c r="B575" s="80" t="s">
        <v>1257</v>
      </c>
      <c r="C575" s="80" t="s">
        <v>1143</v>
      </c>
      <c r="F575" s="80" t="s">
        <v>976</v>
      </c>
      <c r="G575" s="80" t="s">
        <v>456</v>
      </c>
      <c r="H575" s="80">
        <v>0</v>
      </c>
      <c r="I575" s="80" t="s">
        <v>456</v>
      </c>
      <c r="J575" s="79">
        <v>4</v>
      </c>
      <c r="K575" s="79">
        <v>0</v>
      </c>
      <c r="L575" s="79">
        <v>0</v>
      </c>
      <c r="M575" s="79" t="s">
        <v>579</v>
      </c>
      <c r="N575" s="79" t="s">
        <v>977</v>
      </c>
      <c r="O575" s="79" t="s">
        <v>453</v>
      </c>
      <c r="P575" s="79" t="s">
        <v>453</v>
      </c>
      <c r="Q575" s="79" t="s">
        <v>453</v>
      </c>
    </row>
    <row r="576" spans="1:17" ht="26.4">
      <c r="A576" s="172">
        <f t="shared" si="9"/>
        <v>573</v>
      </c>
      <c r="B576" s="80" t="s">
        <v>1258</v>
      </c>
      <c r="C576" s="80" t="s">
        <v>1145</v>
      </c>
      <c r="F576" s="80" t="s">
        <v>976</v>
      </c>
      <c r="G576" s="80" t="s">
        <v>456</v>
      </c>
      <c r="H576" s="80">
        <v>0</v>
      </c>
      <c r="I576" s="80" t="s">
        <v>456</v>
      </c>
      <c r="J576" s="79">
        <v>4</v>
      </c>
      <c r="K576" s="79">
        <v>0</v>
      </c>
      <c r="L576" s="79">
        <v>0</v>
      </c>
      <c r="M576" s="79" t="s">
        <v>579</v>
      </c>
      <c r="N576" s="79" t="s">
        <v>977</v>
      </c>
      <c r="O576" s="79" t="s">
        <v>453</v>
      </c>
      <c r="P576" s="79" t="s">
        <v>453</v>
      </c>
      <c r="Q576" s="79" t="s">
        <v>453</v>
      </c>
    </row>
    <row r="577" spans="1:17" ht="26.4">
      <c r="A577" s="172">
        <f t="shared" si="9"/>
        <v>574</v>
      </c>
      <c r="B577" s="80" t="s">
        <v>1259</v>
      </c>
      <c r="C577" s="80" t="s">
        <v>1147</v>
      </c>
      <c r="F577" s="80" t="s">
        <v>976</v>
      </c>
      <c r="G577" s="80" t="s">
        <v>456</v>
      </c>
      <c r="H577" s="80">
        <v>0</v>
      </c>
      <c r="I577" s="80" t="s">
        <v>456</v>
      </c>
      <c r="J577" s="79">
        <v>4</v>
      </c>
      <c r="K577" s="79">
        <v>0</v>
      </c>
      <c r="L577" s="79">
        <v>0</v>
      </c>
      <c r="M577" s="79" t="s">
        <v>579</v>
      </c>
      <c r="N577" s="79" t="s">
        <v>977</v>
      </c>
      <c r="O577" s="79" t="s">
        <v>453</v>
      </c>
      <c r="P577" s="79" t="s">
        <v>453</v>
      </c>
      <c r="Q577" s="79" t="s">
        <v>453</v>
      </c>
    </row>
    <row r="578" spans="1:17" ht="26.4">
      <c r="A578" s="172">
        <f t="shared" si="9"/>
        <v>575</v>
      </c>
      <c r="B578" s="80" t="s">
        <v>1260</v>
      </c>
      <c r="C578" s="80" t="s">
        <v>1149</v>
      </c>
      <c r="F578" s="80" t="s">
        <v>976</v>
      </c>
      <c r="G578" s="80" t="s">
        <v>456</v>
      </c>
      <c r="H578" s="80">
        <v>0</v>
      </c>
      <c r="I578" s="80" t="s">
        <v>456</v>
      </c>
      <c r="J578" s="79">
        <v>4</v>
      </c>
      <c r="K578" s="79">
        <v>0</v>
      </c>
      <c r="L578" s="79">
        <v>0</v>
      </c>
      <c r="M578" s="79" t="s">
        <v>579</v>
      </c>
      <c r="N578" s="79" t="s">
        <v>977</v>
      </c>
      <c r="O578" s="79" t="s">
        <v>453</v>
      </c>
      <c r="P578" s="79" t="s">
        <v>453</v>
      </c>
      <c r="Q578" s="79" t="s">
        <v>453</v>
      </c>
    </row>
    <row r="579" spans="1:17" ht="26.4">
      <c r="A579" s="172">
        <f t="shared" si="9"/>
        <v>576</v>
      </c>
      <c r="B579" s="80" t="s">
        <v>1261</v>
      </c>
      <c r="C579" s="80" t="s">
        <v>1151</v>
      </c>
      <c r="F579" s="80" t="s">
        <v>976</v>
      </c>
      <c r="G579" s="80" t="s">
        <v>456</v>
      </c>
      <c r="H579" s="80">
        <v>0</v>
      </c>
      <c r="I579" s="80" t="s">
        <v>456</v>
      </c>
      <c r="J579" s="79">
        <v>12</v>
      </c>
      <c r="K579" s="79">
        <v>0</v>
      </c>
      <c r="L579" s="79">
        <v>0</v>
      </c>
      <c r="M579" s="79" t="s">
        <v>579</v>
      </c>
      <c r="N579" s="79" t="s">
        <v>977</v>
      </c>
      <c r="O579" s="79" t="s">
        <v>453</v>
      </c>
      <c r="P579" s="79" t="s">
        <v>453</v>
      </c>
      <c r="Q579" s="79" t="s">
        <v>453</v>
      </c>
    </row>
    <row r="580" spans="1:17">
      <c r="A580" s="172">
        <f t="shared" si="9"/>
        <v>577</v>
      </c>
      <c r="B580" s="80" t="s">
        <v>1262</v>
      </c>
      <c r="C580" s="80" t="s">
        <v>1263</v>
      </c>
      <c r="F580" s="80" t="s">
        <v>976</v>
      </c>
      <c r="G580" s="80" t="s">
        <v>456</v>
      </c>
      <c r="H580" s="80">
        <v>0</v>
      </c>
      <c r="I580" s="80" t="s">
        <v>456</v>
      </c>
      <c r="J580" s="79">
        <v>4</v>
      </c>
      <c r="K580" s="79">
        <v>0</v>
      </c>
      <c r="L580" s="79">
        <v>0</v>
      </c>
      <c r="M580" s="79" t="s">
        <v>579</v>
      </c>
      <c r="N580" s="79" t="s">
        <v>977</v>
      </c>
      <c r="O580" s="79" t="s">
        <v>453</v>
      </c>
      <c r="P580" s="79" t="s">
        <v>453</v>
      </c>
      <c r="Q580" s="79" t="s">
        <v>453</v>
      </c>
    </row>
    <row r="581" spans="1:17">
      <c r="A581" s="172">
        <f t="shared" si="9"/>
        <v>578</v>
      </c>
      <c r="B581" s="80" t="s">
        <v>1264</v>
      </c>
      <c r="C581" s="80" t="s">
        <v>1265</v>
      </c>
      <c r="E581" s="116" t="s">
        <v>1266</v>
      </c>
      <c r="F581" s="80" t="s">
        <v>976</v>
      </c>
      <c r="G581" s="80" t="s">
        <v>456</v>
      </c>
      <c r="H581" s="80">
        <v>0</v>
      </c>
      <c r="I581" s="80" t="s">
        <v>456</v>
      </c>
      <c r="J581" s="79">
        <v>12</v>
      </c>
      <c r="K581" s="79">
        <v>0</v>
      </c>
      <c r="L581" s="79">
        <v>0</v>
      </c>
      <c r="M581" s="79" t="s">
        <v>579</v>
      </c>
      <c r="N581" s="79" t="s">
        <v>977</v>
      </c>
      <c r="O581" s="79" t="s">
        <v>453</v>
      </c>
      <c r="P581" s="79" t="s">
        <v>453</v>
      </c>
      <c r="Q581" s="79" t="s">
        <v>453</v>
      </c>
    </row>
    <row r="582" spans="1:17" ht="35.1" customHeight="1">
      <c r="A582" s="172">
        <f t="shared" si="9"/>
        <v>579</v>
      </c>
      <c r="B582" s="80" t="s">
        <v>1267</v>
      </c>
      <c r="C582" s="80" t="s">
        <v>1268</v>
      </c>
      <c r="F582" s="80" t="s">
        <v>976</v>
      </c>
      <c r="G582" s="80" t="s">
        <v>456</v>
      </c>
      <c r="H582" s="80">
        <v>0</v>
      </c>
      <c r="I582" s="80" t="s">
        <v>456</v>
      </c>
      <c r="J582" s="79">
        <v>12</v>
      </c>
      <c r="K582" s="79">
        <v>0</v>
      </c>
      <c r="L582" s="79">
        <v>0</v>
      </c>
      <c r="M582" s="79" t="s">
        <v>579</v>
      </c>
      <c r="N582" s="79" t="s">
        <v>977</v>
      </c>
      <c r="O582" s="79" t="s">
        <v>453</v>
      </c>
      <c r="P582" s="79" t="s">
        <v>453</v>
      </c>
      <c r="Q582" s="79" t="s">
        <v>453</v>
      </c>
    </row>
    <row r="583" spans="1:17">
      <c r="A583" s="172">
        <f t="shared" si="9"/>
        <v>580</v>
      </c>
      <c r="B583" s="80" t="s">
        <v>1269</v>
      </c>
      <c r="C583" s="80" t="s">
        <v>1270</v>
      </c>
      <c r="F583" s="80" t="s">
        <v>976</v>
      </c>
      <c r="G583" s="80" t="s">
        <v>456</v>
      </c>
      <c r="H583" s="80">
        <v>0</v>
      </c>
      <c r="I583" s="80" t="s">
        <v>456</v>
      </c>
      <c r="J583" s="79">
        <v>4</v>
      </c>
      <c r="K583" s="79">
        <v>0</v>
      </c>
      <c r="L583" s="79">
        <v>0</v>
      </c>
      <c r="M583" s="79" t="s">
        <v>579</v>
      </c>
      <c r="N583" s="79" t="s">
        <v>977</v>
      </c>
      <c r="O583" s="79" t="s">
        <v>453</v>
      </c>
      <c r="P583" s="79" t="s">
        <v>453</v>
      </c>
      <c r="Q583" s="79" t="s">
        <v>453</v>
      </c>
    </row>
    <row r="584" spans="1:17">
      <c r="A584" s="172">
        <f t="shared" si="9"/>
        <v>581</v>
      </c>
      <c r="B584" s="80" t="s">
        <v>1271</v>
      </c>
      <c r="C584" s="80" t="s">
        <v>1272</v>
      </c>
      <c r="D584" s="80" t="s">
        <v>1271</v>
      </c>
      <c r="E584" s="116" t="s">
        <v>182</v>
      </c>
      <c r="F584" s="80" t="s">
        <v>503</v>
      </c>
      <c r="G584" s="80" t="s">
        <v>456</v>
      </c>
      <c r="H584" s="80">
        <v>0</v>
      </c>
      <c r="I584" s="80" t="s">
        <v>456</v>
      </c>
      <c r="J584" s="79">
        <v>4</v>
      </c>
      <c r="K584" s="79">
        <v>0</v>
      </c>
      <c r="L584" s="79">
        <v>0</v>
      </c>
      <c r="M584" s="79" t="s">
        <v>451</v>
      </c>
      <c r="N584" s="79" t="s">
        <v>452</v>
      </c>
      <c r="O584" s="79" t="s">
        <v>453</v>
      </c>
      <c r="P584" s="79" t="s">
        <v>453</v>
      </c>
      <c r="Q584" s="79" t="s">
        <v>453</v>
      </c>
    </row>
    <row r="585" spans="1:17" ht="26.4">
      <c r="A585" s="172">
        <f t="shared" si="9"/>
        <v>582</v>
      </c>
      <c r="B585" s="80" t="s">
        <v>1273</v>
      </c>
      <c r="C585" s="80" t="s">
        <v>1274</v>
      </c>
      <c r="F585" s="80" t="s">
        <v>976</v>
      </c>
      <c r="G585" s="80" t="s">
        <v>456</v>
      </c>
      <c r="H585" s="80">
        <v>0</v>
      </c>
      <c r="I585" s="80" t="s">
        <v>456</v>
      </c>
      <c r="J585" s="79">
        <v>4</v>
      </c>
      <c r="K585" s="79">
        <v>0</v>
      </c>
      <c r="L585" s="79">
        <v>0</v>
      </c>
      <c r="M585" s="79" t="s">
        <v>579</v>
      </c>
      <c r="N585" s="79" t="s">
        <v>977</v>
      </c>
      <c r="O585" s="79" t="s">
        <v>453</v>
      </c>
      <c r="P585" s="79" t="s">
        <v>453</v>
      </c>
      <c r="Q585" s="79" t="s">
        <v>453</v>
      </c>
    </row>
    <row r="586" spans="1:17" ht="26.4">
      <c r="A586" s="172">
        <f t="shared" si="9"/>
        <v>583</v>
      </c>
      <c r="B586" s="80" t="s">
        <v>1275</v>
      </c>
      <c r="C586" s="80" t="s">
        <v>1276</v>
      </c>
      <c r="F586" s="80" t="s">
        <v>976</v>
      </c>
      <c r="G586" s="80" t="s">
        <v>456</v>
      </c>
      <c r="H586" s="80">
        <v>0</v>
      </c>
      <c r="I586" s="80" t="s">
        <v>456</v>
      </c>
      <c r="J586" s="79">
        <v>12</v>
      </c>
      <c r="K586" s="79">
        <v>0</v>
      </c>
      <c r="L586" s="79">
        <v>0</v>
      </c>
      <c r="M586" s="79" t="s">
        <v>579</v>
      </c>
      <c r="N586" s="79" t="s">
        <v>977</v>
      </c>
      <c r="O586" s="79" t="s">
        <v>453</v>
      </c>
      <c r="P586" s="79" t="s">
        <v>453</v>
      </c>
      <c r="Q586" s="79" t="s">
        <v>453</v>
      </c>
    </row>
    <row r="587" spans="1:17" ht="26.4">
      <c r="A587" s="172">
        <f t="shared" si="9"/>
        <v>584</v>
      </c>
      <c r="B587" s="80" t="s">
        <v>1277</v>
      </c>
      <c r="C587" s="80" t="s">
        <v>1278</v>
      </c>
      <c r="F587" s="80" t="s">
        <v>976</v>
      </c>
      <c r="H587" s="80">
        <v>0</v>
      </c>
      <c r="I587" s="80" t="s">
        <v>450</v>
      </c>
      <c r="J587" s="79">
        <v>4</v>
      </c>
      <c r="K587" s="79">
        <v>0</v>
      </c>
      <c r="L587" s="79">
        <v>0</v>
      </c>
      <c r="M587" s="79" t="s">
        <v>579</v>
      </c>
      <c r="N587" s="79" t="s">
        <v>977</v>
      </c>
      <c r="O587" s="79" t="s">
        <v>453</v>
      </c>
      <c r="P587" s="79" t="s">
        <v>453</v>
      </c>
      <c r="Q587" s="79" t="s">
        <v>453</v>
      </c>
    </row>
    <row r="588" spans="1:17" ht="26.4">
      <c r="A588" s="172">
        <f t="shared" si="9"/>
        <v>585</v>
      </c>
      <c r="B588" s="80" t="s">
        <v>1279</v>
      </c>
      <c r="C588" s="80" t="s">
        <v>1280</v>
      </c>
      <c r="F588" s="80" t="s">
        <v>976</v>
      </c>
      <c r="H588" s="80">
        <v>0</v>
      </c>
      <c r="I588" s="80" t="s">
        <v>450</v>
      </c>
      <c r="J588" s="79">
        <v>4</v>
      </c>
      <c r="K588" s="79">
        <v>0</v>
      </c>
      <c r="L588" s="79">
        <v>0</v>
      </c>
      <c r="M588" s="79" t="s">
        <v>579</v>
      </c>
      <c r="N588" s="79" t="s">
        <v>977</v>
      </c>
      <c r="O588" s="79" t="s">
        <v>453</v>
      </c>
      <c r="P588" s="79" t="s">
        <v>453</v>
      </c>
      <c r="Q588" s="79" t="s">
        <v>453</v>
      </c>
    </row>
    <row r="589" spans="1:17" ht="26.4">
      <c r="A589" s="172">
        <f t="shared" si="9"/>
        <v>586</v>
      </c>
      <c r="B589" s="80" t="s">
        <v>1281</v>
      </c>
      <c r="C589" s="80" t="s">
        <v>1282</v>
      </c>
      <c r="F589" s="80" t="s">
        <v>976</v>
      </c>
      <c r="G589" s="80" t="s">
        <v>456</v>
      </c>
      <c r="H589" s="80">
        <v>0</v>
      </c>
      <c r="I589" s="80" t="s">
        <v>456</v>
      </c>
      <c r="J589" s="79">
        <v>12</v>
      </c>
      <c r="K589" s="79">
        <v>0</v>
      </c>
      <c r="L589" s="79">
        <v>0</v>
      </c>
      <c r="M589" s="79" t="s">
        <v>451</v>
      </c>
      <c r="N589" s="79" t="s">
        <v>977</v>
      </c>
      <c r="O589" s="79" t="s">
        <v>453</v>
      </c>
      <c r="P589" s="79" t="s">
        <v>453</v>
      </c>
      <c r="Q589" s="79" t="s">
        <v>453</v>
      </c>
    </row>
    <row r="590" spans="1:17" ht="26.4">
      <c r="A590" s="172">
        <f t="shared" si="9"/>
        <v>587</v>
      </c>
      <c r="B590" s="80" t="s">
        <v>1283</v>
      </c>
      <c r="C590" s="80" t="s">
        <v>1284</v>
      </c>
      <c r="F590" s="80" t="s">
        <v>976</v>
      </c>
      <c r="G590" s="80" t="s">
        <v>456</v>
      </c>
      <c r="H590" s="80">
        <v>0</v>
      </c>
      <c r="I590" s="80" t="s">
        <v>456</v>
      </c>
      <c r="J590" s="79">
        <v>12</v>
      </c>
      <c r="K590" s="79">
        <v>0</v>
      </c>
      <c r="L590" s="79">
        <v>0</v>
      </c>
      <c r="M590" s="79" t="s">
        <v>451</v>
      </c>
      <c r="N590" s="79" t="s">
        <v>977</v>
      </c>
      <c r="O590" s="79" t="s">
        <v>453</v>
      </c>
      <c r="P590" s="79" t="s">
        <v>453</v>
      </c>
      <c r="Q590" s="79" t="s">
        <v>453</v>
      </c>
    </row>
    <row r="591" spans="1:17" ht="26.4">
      <c r="A591" s="172">
        <f t="shared" si="9"/>
        <v>588</v>
      </c>
      <c r="B591" s="80" t="s">
        <v>1285</v>
      </c>
      <c r="C591" s="80" t="s">
        <v>1286</v>
      </c>
      <c r="F591" s="80" t="s">
        <v>976</v>
      </c>
      <c r="G591" s="80" t="s">
        <v>456</v>
      </c>
      <c r="H591" s="80">
        <v>0</v>
      </c>
      <c r="I591" s="80" t="s">
        <v>456</v>
      </c>
      <c r="J591" s="79">
        <v>12</v>
      </c>
      <c r="K591" s="79">
        <v>0</v>
      </c>
      <c r="L591" s="79">
        <v>0</v>
      </c>
      <c r="M591" s="79" t="s">
        <v>451</v>
      </c>
      <c r="N591" s="79" t="s">
        <v>977</v>
      </c>
      <c r="O591" s="79" t="s">
        <v>453</v>
      </c>
      <c r="P591" s="79" t="s">
        <v>453</v>
      </c>
      <c r="Q591" s="79" t="s">
        <v>453</v>
      </c>
    </row>
    <row r="592" spans="1:17" ht="26.4">
      <c r="A592" s="172">
        <f t="shared" si="9"/>
        <v>589</v>
      </c>
      <c r="B592" s="80" t="s">
        <v>1287</v>
      </c>
      <c r="C592" s="80" t="s">
        <v>1288</v>
      </c>
      <c r="F592" s="80" t="s">
        <v>976</v>
      </c>
      <c r="G592" s="80" t="s">
        <v>456</v>
      </c>
      <c r="H592" s="80">
        <v>0</v>
      </c>
      <c r="I592" s="80" t="s">
        <v>456</v>
      </c>
      <c r="J592" s="79">
        <v>4</v>
      </c>
      <c r="K592" s="79">
        <v>0</v>
      </c>
      <c r="L592" s="79">
        <v>0</v>
      </c>
      <c r="M592" s="79" t="s">
        <v>579</v>
      </c>
      <c r="N592" s="79" t="s">
        <v>977</v>
      </c>
      <c r="O592" s="79" t="s">
        <v>453</v>
      </c>
      <c r="P592" s="79" t="s">
        <v>453</v>
      </c>
      <c r="Q592" s="79" t="s">
        <v>453</v>
      </c>
    </row>
    <row r="593" spans="1:17">
      <c r="A593" s="172">
        <f t="shared" si="9"/>
        <v>590</v>
      </c>
      <c r="B593" s="80" t="s">
        <v>1289</v>
      </c>
      <c r="C593" s="80" t="s">
        <v>1290</v>
      </c>
      <c r="D593" s="80" t="s">
        <v>1289</v>
      </c>
      <c r="E593" s="116" t="s">
        <v>1291</v>
      </c>
      <c r="F593" s="80" t="s">
        <v>503</v>
      </c>
      <c r="G593" s="80" t="s">
        <v>468</v>
      </c>
      <c r="H593" s="80" t="s">
        <v>118</v>
      </c>
      <c r="I593" s="80" t="s">
        <v>450</v>
      </c>
      <c r="J593" s="79">
        <v>1</v>
      </c>
      <c r="K593" s="79">
        <v>0</v>
      </c>
      <c r="L593" s="79">
        <v>0</v>
      </c>
      <c r="M593" s="79" t="s">
        <v>451</v>
      </c>
      <c r="N593" s="79" t="s">
        <v>452</v>
      </c>
      <c r="O593" s="79" t="s">
        <v>453</v>
      </c>
      <c r="P593" s="79" t="s">
        <v>453</v>
      </c>
      <c r="Q593" s="79" t="s">
        <v>453</v>
      </c>
    </row>
    <row r="594" spans="1:17" ht="26.4">
      <c r="A594" s="172">
        <f t="shared" si="9"/>
        <v>591</v>
      </c>
      <c r="B594" s="80" t="s">
        <v>1292</v>
      </c>
      <c r="C594" s="80" t="s">
        <v>1293</v>
      </c>
      <c r="F594" s="80" t="s">
        <v>976</v>
      </c>
      <c r="G594" s="80" t="s">
        <v>456</v>
      </c>
      <c r="H594" s="80">
        <v>0</v>
      </c>
      <c r="I594" s="80" t="s">
        <v>456</v>
      </c>
      <c r="J594" s="79">
        <v>4</v>
      </c>
      <c r="K594" s="79">
        <v>0</v>
      </c>
      <c r="L594" s="79">
        <v>0</v>
      </c>
      <c r="M594" s="79" t="s">
        <v>579</v>
      </c>
      <c r="N594" s="79" t="s">
        <v>977</v>
      </c>
      <c r="O594" s="79" t="s">
        <v>453</v>
      </c>
      <c r="P594" s="79" t="s">
        <v>453</v>
      </c>
      <c r="Q594" s="79" t="s">
        <v>453</v>
      </c>
    </row>
    <row r="595" spans="1:17" ht="26.4">
      <c r="A595" s="172">
        <f t="shared" si="9"/>
        <v>592</v>
      </c>
      <c r="B595" s="80" t="s">
        <v>1294</v>
      </c>
      <c r="C595" s="80" t="s">
        <v>1295</v>
      </c>
      <c r="F595" s="80" t="s">
        <v>976</v>
      </c>
      <c r="G595" s="80" t="s">
        <v>456</v>
      </c>
      <c r="H595" s="80">
        <v>0</v>
      </c>
      <c r="I595" s="80" t="s">
        <v>456</v>
      </c>
      <c r="J595" s="79">
        <v>4</v>
      </c>
      <c r="K595" s="79">
        <v>0</v>
      </c>
      <c r="L595" s="79">
        <v>0</v>
      </c>
      <c r="M595" s="79" t="s">
        <v>579</v>
      </c>
      <c r="N595" s="79" t="s">
        <v>977</v>
      </c>
      <c r="O595" s="79" t="s">
        <v>453</v>
      </c>
      <c r="P595" s="79" t="s">
        <v>453</v>
      </c>
      <c r="Q595" s="79" t="s">
        <v>453</v>
      </c>
    </row>
    <row r="596" spans="1:17" ht="26.4">
      <c r="A596" s="172">
        <f t="shared" si="9"/>
        <v>593</v>
      </c>
      <c r="B596" s="80" t="s">
        <v>1296</v>
      </c>
      <c r="C596" s="80" t="s">
        <v>1297</v>
      </c>
      <c r="F596" s="80" t="s">
        <v>976</v>
      </c>
      <c r="G596" s="80" t="s">
        <v>456</v>
      </c>
      <c r="H596" s="80">
        <v>0</v>
      </c>
      <c r="I596" s="80" t="s">
        <v>456</v>
      </c>
      <c r="J596" s="79">
        <v>4</v>
      </c>
      <c r="K596" s="79">
        <v>0</v>
      </c>
      <c r="L596" s="79">
        <v>0</v>
      </c>
      <c r="M596" s="79" t="s">
        <v>579</v>
      </c>
      <c r="N596" s="79" t="s">
        <v>977</v>
      </c>
      <c r="O596" s="79" t="s">
        <v>453</v>
      </c>
      <c r="P596" s="79" t="s">
        <v>453</v>
      </c>
      <c r="Q596" s="79" t="s">
        <v>453</v>
      </c>
    </row>
    <row r="597" spans="1:17">
      <c r="A597" s="172">
        <f t="shared" si="9"/>
        <v>594</v>
      </c>
      <c r="B597" s="80" t="s">
        <v>1298</v>
      </c>
      <c r="C597" s="80" t="s">
        <v>1299</v>
      </c>
      <c r="F597" s="80" t="s">
        <v>976</v>
      </c>
      <c r="G597" s="80" t="s">
        <v>456</v>
      </c>
      <c r="H597" s="80">
        <v>0</v>
      </c>
      <c r="I597" s="80" t="s">
        <v>456</v>
      </c>
      <c r="J597" s="79">
        <v>4</v>
      </c>
      <c r="K597" s="79">
        <v>0</v>
      </c>
      <c r="L597" s="79">
        <v>0</v>
      </c>
      <c r="M597" s="79" t="s">
        <v>579</v>
      </c>
      <c r="N597" s="79" t="s">
        <v>977</v>
      </c>
      <c r="O597" s="79" t="s">
        <v>453</v>
      </c>
      <c r="P597" s="79" t="s">
        <v>453</v>
      </c>
      <c r="Q597" s="79" t="s">
        <v>453</v>
      </c>
    </row>
    <row r="598" spans="1:17">
      <c r="A598" s="172">
        <f t="shared" ref="A598:A661" si="10">A597+1</f>
        <v>595</v>
      </c>
      <c r="B598" s="80" t="s">
        <v>1300</v>
      </c>
      <c r="C598" s="80" t="s">
        <v>1093</v>
      </c>
      <c r="F598" s="80" t="s">
        <v>976</v>
      </c>
      <c r="G598" s="80" t="s">
        <v>456</v>
      </c>
      <c r="H598" s="80">
        <v>0</v>
      </c>
      <c r="I598" s="80" t="s">
        <v>456</v>
      </c>
      <c r="J598" s="79">
        <v>4</v>
      </c>
      <c r="K598" s="79">
        <v>0</v>
      </c>
      <c r="L598" s="79">
        <v>0</v>
      </c>
      <c r="M598" s="79" t="s">
        <v>579</v>
      </c>
      <c r="N598" s="79" t="s">
        <v>977</v>
      </c>
      <c r="O598" s="79" t="s">
        <v>453</v>
      </c>
      <c r="P598" s="79" t="s">
        <v>453</v>
      </c>
      <c r="Q598" s="79" t="s">
        <v>453</v>
      </c>
    </row>
    <row r="599" spans="1:17" ht="26.4">
      <c r="A599" s="172">
        <f t="shared" si="10"/>
        <v>596</v>
      </c>
      <c r="B599" s="80" t="s">
        <v>1301</v>
      </c>
      <c r="C599" s="80" t="s">
        <v>1095</v>
      </c>
      <c r="F599" s="80" t="s">
        <v>976</v>
      </c>
      <c r="G599" s="80" t="s">
        <v>456</v>
      </c>
      <c r="H599" s="80">
        <v>0</v>
      </c>
      <c r="I599" s="80" t="s">
        <v>456</v>
      </c>
      <c r="J599" s="79">
        <v>4</v>
      </c>
      <c r="K599" s="79">
        <v>0</v>
      </c>
      <c r="L599" s="79">
        <v>0</v>
      </c>
      <c r="M599" s="79" t="s">
        <v>579</v>
      </c>
      <c r="N599" s="79" t="s">
        <v>977</v>
      </c>
      <c r="O599" s="79" t="s">
        <v>453</v>
      </c>
      <c r="P599" s="79" t="s">
        <v>453</v>
      </c>
      <c r="Q599" s="79" t="s">
        <v>453</v>
      </c>
    </row>
    <row r="600" spans="1:17">
      <c r="A600" s="172">
        <f t="shared" si="10"/>
        <v>597</v>
      </c>
      <c r="B600" s="80" t="s">
        <v>1302</v>
      </c>
      <c r="C600" s="80" t="s">
        <v>1097</v>
      </c>
      <c r="F600" s="80" t="s">
        <v>976</v>
      </c>
      <c r="G600" s="80" t="s">
        <v>456</v>
      </c>
      <c r="H600" s="80">
        <v>0</v>
      </c>
      <c r="I600" s="80" t="s">
        <v>456</v>
      </c>
      <c r="J600" s="79">
        <v>12</v>
      </c>
      <c r="K600" s="79">
        <v>0</v>
      </c>
      <c r="L600" s="79">
        <v>0</v>
      </c>
      <c r="M600" s="79" t="s">
        <v>579</v>
      </c>
      <c r="N600" s="79" t="s">
        <v>977</v>
      </c>
      <c r="O600" s="79" t="s">
        <v>453</v>
      </c>
      <c r="P600" s="79" t="s">
        <v>453</v>
      </c>
      <c r="Q600" s="79" t="s">
        <v>453</v>
      </c>
    </row>
    <row r="601" spans="1:17">
      <c r="A601" s="172">
        <f t="shared" si="10"/>
        <v>598</v>
      </c>
      <c r="B601" s="80" t="s">
        <v>1303</v>
      </c>
      <c r="C601" s="80" t="s">
        <v>1304</v>
      </c>
      <c r="F601" s="80" t="s">
        <v>976</v>
      </c>
      <c r="G601" s="80" t="s">
        <v>456</v>
      </c>
      <c r="H601" s="80">
        <v>0</v>
      </c>
      <c r="I601" s="80" t="s">
        <v>456</v>
      </c>
      <c r="J601" s="79">
        <v>4</v>
      </c>
      <c r="K601" s="79">
        <v>0</v>
      </c>
      <c r="L601" s="79">
        <v>0</v>
      </c>
      <c r="M601" s="79" t="s">
        <v>579</v>
      </c>
      <c r="N601" s="79" t="s">
        <v>977</v>
      </c>
      <c r="O601" s="79" t="s">
        <v>453</v>
      </c>
      <c r="P601" s="79" t="s">
        <v>453</v>
      </c>
      <c r="Q601" s="79" t="s">
        <v>453</v>
      </c>
    </row>
    <row r="602" spans="1:17" ht="26.4">
      <c r="A602" s="172">
        <f t="shared" si="10"/>
        <v>599</v>
      </c>
      <c r="B602" s="80" t="s">
        <v>1305</v>
      </c>
      <c r="C602" s="80" t="s">
        <v>1306</v>
      </c>
      <c r="F602" s="80" t="s">
        <v>976</v>
      </c>
      <c r="G602" s="80" t="s">
        <v>456</v>
      </c>
      <c r="H602" s="80">
        <v>0</v>
      </c>
      <c r="I602" s="80" t="s">
        <v>456</v>
      </c>
      <c r="J602" s="79">
        <v>4</v>
      </c>
      <c r="K602" s="79">
        <v>0</v>
      </c>
      <c r="L602" s="79">
        <v>0</v>
      </c>
      <c r="M602" s="79" t="s">
        <v>579</v>
      </c>
      <c r="N602" s="79" t="s">
        <v>977</v>
      </c>
      <c r="O602" s="79" t="s">
        <v>453</v>
      </c>
      <c r="P602" s="79" t="s">
        <v>453</v>
      </c>
      <c r="Q602" s="79" t="s">
        <v>453</v>
      </c>
    </row>
    <row r="603" spans="1:17" ht="26.4">
      <c r="A603" s="172">
        <f t="shared" si="10"/>
        <v>600</v>
      </c>
      <c r="B603" s="80" t="s">
        <v>1307</v>
      </c>
      <c r="C603" s="80" t="s">
        <v>1308</v>
      </c>
      <c r="F603" s="80" t="s">
        <v>976</v>
      </c>
      <c r="G603" s="80" t="s">
        <v>456</v>
      </c>
      <c r="H603" s="80">
        <v>0</v>
      </c>
      <c r="I603" s="80" t="s">
        <v>456</v>
      </c>
      <c r="J603" s="79">
        <v>4</v>
      </c>
      <c r="K603" s="79">
        <v>0</v>
      </c>
      <c r="L603" s="79">
        <v>0</v>
      </c>
      <c r="M603" s="79" t="s">
        <v>579</v>
      </c>
      <c r="N603" s="79" t="s">
        <v>977</v>
      </c>
      <c r="O603" s="79" t="s">
        <v>453</v>
      </c>
      <c r="P603" s="79" t="s">
        <v>453</v>
      </c>
      <c r="Q603" s="79" t="s">
        <v>453</v>
      </c>
    </row>
    <row r="604" spans="1:17" ht="26.4">
      <c r="A604" s="172">
        <f t="shared" si="10"/>
        <v>601</v>
      </c>
      <c r="B604" s="80" t="s">
        <v>1309</v>
      </c>
      <c r="C604" s="80" t="s">
        <v>1310</v>
      </c>
      <c r="F604" s="80" t="s">
        <v>976</v>
      </c>
      <c r="G604" s="80" t="s">
        <v>456</v>
      </c>
      <c r="H604" s="80">
        <v>0</v>
      </c>
      <c r="I604" s="80" t="s">
        <v>456</v>
      </c>
      <c r="J604" s="79">
        <v>4</v>
      </c>
      <c r="K604" s="79">
        <v>0</v>
      </c>
      <c r="L604" s="79">
        <v>0</v>
      </c>
      <c r="M604" s="79" t="s">
        <v>579</v>
      </c>
      <c r="N604" s="79" t="s">
        <v>977</v>
      </c>
      <c r="O604" s="79" t="s">
        <v>453</v>
      </c>
      <c r="P604" s="79" t="s">
        <v>453</v>
      </c>
      <c r="Q604" s="79" t="s">
        <v>453</v>
      </c>
    </row>
    <row r="605" spans="1:17" ht="26.4">
      <c r="A605" s="172">
        <f t="shared" si="10"/>
        <v>602</v>
      </c>
      <c r="B605" s="80" t="s">
        <v>1311</v>
      </c>
      <c r="C605" s="80" t="s">
        <v>1312</v>
      </c>
      <c r="F605" s="80" t="s">
        <v>976</v>
      </c>
      <c r="G605" s="80" t="s">
        <v>456</v>
      </c>
      <c r="H605" s="80">
        <v>0</v>
      </c>
      <c r="I605" s="80" t="s">
        <v>456</v>
      </c>
      <c r="J605" s="79">
        <v>4</v>
      </c>
      <c r="K605" s="79">
        <v>0</v>
      </c>
      <c r="L605" s="79">
        <v>0</v>
      </c>
      <c r="M605" s="79" t="s">
        <v>579</v>
      </c>
      <c r="N605" s="79" t="s">
        <v>977</v>
      </c>
      <c r="O605" s="79" t="s">
        <v>453</v>
      </c>
      <c r="P605" s="79" t="s">
        <v>453</v>
      </c>
      <c r="Q605" s="79" t="s">
        <v>453</v>
      </c>
    </row>
    <row r="606" spans="1:17" ht="26.4">
      <c r="A606" s="172">
        <f t="shared" si="10"/>
        <v>603</v>
      </c>
      <c r="B606" s="80" t="s">
        <v>1313</v>
      </c>
      <c r="C606" s="80" t="s">
        <v>1314</v>
      </c>
      <c r="F606" s="80" t="s">
        <v>976</v>
      </c>
      <c r="G606" s="80" t="s">
        <v>456</v>
      </c>
      <c r="H606" s="80">
        <v>0</v>
      </c>
      <c r="I606" s="80" t="s">
        <v>456</v>
      </c>
      <c r="J606" s="79">
        <v>4</v>
      </c>
      <c r="K606" s="79">
        <v>0</v>
      </c>
      <c r="L606" s="79">
        <v>0</v>
      </c>
      <c r="M606" s="79" t="s">
        <v>579</v>
      </c>
      <c r="N606" s="79" t="s">
        <v>977</v>
      </c>
      <c r="O606" s="79" t="s">
        <v>453</v>
      </c>
      <c r="P606" s="79" t="s">
        <v>453</v>
      </c>
      <c r="Q606" s="79" t="s">
        <v>453</v>
      </c>
    </row>
    <row r="607" spans="1:17" ht="26.4">
      <c r="A607" s="172">
        <f t="shared" si="10"/>
        <v>604</v>
      </c>
      <c r="B607" s="80" t="s">
        <v>1315</v>
      </c>
      <c r="C607" s="80" t="s">
        <v>1316</v>
      </c>
      <c r="F607" s="80" t="s">
        <v>976</v>
      </c>
      <c r="G607" s="80" t="s">
        <v>456</v>
      </c>
      <c r="H607" s="80">
        <v>0</v>
      </c>
      <c r="I607" s="80" t="s">
        <v>456</v>
      </c>
      <c r="J607" s="79">
        <v>4</v>
      </c>
      <c r="K607" s="79">
        <v>0</v>
      </c>
      <c r="L607" s="79">
        <v>0</v>
      </c>
      <c r="M607" s="79" t="s">
        <v>579</v>
      </c>
      <c r="N607" s="79" t="s">
        <v>977</v>
      </c>
      <c r="O607" s="79" t="s">
        <v>453</v>
      </c>
      <c r="P607" s="79" t="s">
        <v>453</v>
      </c>
      <c r="Q607" s="79" t="s">
        <v>453</v>
      </c>
    </row>
    <row r="608" spans="1:17" ht="26.4">
      <c r="A608" s="172">
        <f t="shared" si="10"/>
        <v>605</v>
      </c>
      <c r="B608" s="80" t="s">
        <v>1317</v>
      </c>
      <c r="C608" s="80" t="s">
        <v>1318</v>
      </c>
      <c r="F608" s="80" t="s">
        <v>976</v>
      </c>
      <c r="G608" s="80" t="s">
        <v>456</v>
      </c>
      <c r="H608" s="80">
        <v>0</v>
      </c>
      <c r="I608" s="80" t="s">
        <v>456</v>
      </c>
      <c r="J608" s="79">
        <v>4</v>
      </c>
      <c r="K608" s="79">
        <v>0</v>
      </c>
      <c r="L608" s="79">
        <v>0</v>
      </c>
      <c r="M608" s="79" t="s">
        <v>579</v>
      </c>
      <c r="N608" s="79" t="s">
        <v>977</v>
      </c>
      <c r="O608" s="79" t="s">
        <v>453</v>
      </c>
      <c r="P608" s="79" t="s">
        <v>453</v>
      </c>
      <c r="Q608" s="79" t="s">
        <v>453</v>
      </c>
    </row>
    <row r="609" spans="1:17" ht="26.4">
      <c r="A609" s="172">
        <f t="shared" si="10"/>
        <v>606</v>
      </c>
      <c r="B609" s="80" t="s">
        <v>1319</v>
      </c>
      <c r="C609" s="80" t="s">
        <v>1320</v>
      </c>
      <c r="F609" s="80" t="s">
        <v>976</v>
      </c>
      <c r="G609" s="80" t="s">
        <v>456</v>
      </c>
      <c r="H609" s="80">
        <v>0</v>
      </c>
      <c r="I609" s="80" t="s">
        <v>456</v>
      </c>
      <c r="J609" s="79">
        <v>4</v>
      </c>
      <c r="K609" s="79">
        <v>0</v>
      </c>
      <c r="L609" s="79">
        <v>0</v>
      </c>
      <c r="M609" s="79" t="s">
        <v>579</v>
      </c>
      <c r="N609" s="79" t="s">
        <v>977</v>
      </c>
      <c r="O609" s="79" t="s">
        <v>453</v>
      </c>
      <c r="P609" s="79" t="s">
        <v>453</v>
      </c>
      <c r="Q609" s="79" t="s">
        <v>453</v>
      </c>
    </row>
    <row r="610" spans="1:17" ht="26.4">
      <c r="A610" s="172">
        <f t="shared" si="10"/>
        <v>607</v>
      </c>
      <c r="B610" s="80" t="s">
        <v>1321</v>
      </c>
      <c r="C610" s="80" t="s">
        <v>1322</v>
      </c>
      <c r="F610" s="80" t="s">
        <v>976</v>
      </c>
      <c r="G610" s="80" t="s">
        <v>456</v>
      </c>
      <c r="H610" s="80">
        <v>0</v>
      </c>
      <c r="I610" s="80" t="s">
        <v>456</v>
      </c>
      <c r="J610" s="79">
        <v>4</v>
      </c>
      <c r="K610" s="79">
        <v>0</v>
      </c>
      <c r="L610" s="79">
        <v>0</v>
      </c>
      <c r="M610" s="79" t="s">
        <v>579</v>
      </c>
      <c r="N610" s="79" t="s">
        <v>977</v>
      </c>
      <c r="O610" s="79" t="s">
        <v>453</v>
      </c>
      <c r="P610" s="79" t="s">
        <v>453</v>
      </c>
      <c r="Q610" s="79" t="s">
        <v>453</v>
      </c>
    </row>
    <row r="611" spans="1:17" ht="26.4">
      <c r="A611" s="172">
        <f t="shared" si="10"/>
        <v>608</v>
      </c>
      <c r="B611" s="80" t="s">
        <v>1323</v>
      </c>
      <c r="C611" s="80" t="s">
        <v>1324</v>
      </c>
      <c r="F611" s="80" t="s">
        <v>976</v>
      </c>
      <c r="G611" s="80" t="s">
        <v>456</v>
      </c>
      <c r="H611" s="80">
        <v>0</v>
      </c>
      <c r="I611" s="80" t="s">
        <v>456</v>
      </c>
      <c r="J611" s="79">
        <v>4</v>
      </c>
      <c r="K611" s="79">
        <v>0</v>
      </c>
      <c r="L611" s="79">
        <v>0</v>
      </c>
      <c r="M611" s="79" t="s">
        <v>579</v>
      </c>
      <c r="N611" s="79" t="s">
        <v>977</v>
      </c>
      <c r="O611" s="79" t="s">
        <v>453</v>
      </c>
      <c r="P611" s="79" t="s">
        <v>453</v>
      </c>
      <c r="Q611" s="79" t="s">
        <v>453</v>
      </c>
    </row>
    <row r="612" spans="1:17" ht="26.4">
      <c r="A612" s="172">
        <f t="shared" si="10"/>
        <v>609</v>
      </c>
      <c r="B612" s="80" t="s">
        <v>1325</v>
      </c>
      <c r="C612" s="80" t="s">
        <v>1326</v>
      </c>
      <c r="F612" s="80" t="s">
        <v>976</v>
      </c>
      <c r="G612" s="80" t="s">
        <v>456</v>
      </c>
      <c r="H612" s="80">
        <v>0</v>
      </c>
      <c r="I612" s="80" t="s">
        <v>456</v>
      </c>
      <c r="J612" s="79">
        <v>4</v>
      </c>
      <c r="K612" s="79">
        <v>0</v>
      </c>
      <c r="L612" s="79">
        <v>0</v>
      </c>
      <c r="M612" s="79" t="s">
        <v>579</v>
      </c>
      <c r="N612" s="79" t="s">
        <v>977</v>
      </c>
      <c r="O612" s="79" t="s">
        <v>453</v>
      </c>
      <c r="P612" s="79" t="s">
        <v>453</v>
      </c>
      <c r="Q612" s="79" t="s">
        <v>453</v>
      </c>
    </row>
    <row r="613" spans="1:17" ht="26.4">
      <c r="A613" s="172">
        <f t="shared" si="10"/>
        <v>610</v>
      </c>
      <c r="B613" s="80" t="s">
        <v>1327</v>
      </c>
      <c r="C613" s="80" t="s">
        <v>1328</v>
      </c>
      <c r="F613" s="80" t="s">
        <v>976</v>
      </c>
      <c r="G613" s="80" t="s">
        <v>456</v>
      </c>
      <c r="H613" s="80">
        <v>0</v>
      </c>
      <c r="I613" s="80" t="s">
        <v>456</v>
      </c>
      <c r="J613" s="79">
        <v>4</v>
      </c>
      <c r="K613" s="79">
        <v>0</v>
      </c>
      <c r="L613" s="79">
        <v>0</v>
      </c>
      <c r="M613" s="79" t="s">
        <v>579</v>
      </c>
      <c r="N613" s="79" t="s">
        <v>977</v>
      </c>
      <c r="O613" s="79" t="s">
        <v>453</v>
      </c>
      <c r="P613" s="79" t="s">
        <v>453</v>
      </c>
      <c r="Q613" s="79" t="s">
        <v>453</v>
      </c>
    </row>
    <row r="614" spans="1:17" ht="26.4">
      <c r="A614" s="172">
        <f t="shared" si="10"/>
        <v>611</v>
      </c>
      <c r="B614" s="80" t="s">
        <v>1329</v>
      </c>
      <c r="C614" s="80" t="s">
        <v>1330</v>
      </c>
      <c r="F614" s="80" t="s">
        <v>976</v>
      </c>
      <c r="G614" s="80" t="s">
        <v>456</v>
      </c>
      <c r="H614" s="80">
        <v>0</v>
      </c>
      <c r="I614" s="80" t="s">
        <v>456</v>
      </c>
      <c r="J614" s="79">
        <v>4</v>
      </c>
      <c r="K614" s="79">
        <v>0</v>
      </c>
      <c r="L614" s="79">
        <v>0</v>
      </c>
      <c r="M614" s="79" t="s">
        <v>579</v>
      </c>
      <c r="N614" s="79" t="s">
        <v>977</v>
      </c>
      <c r="O614" s="79" t="s">
        <v>453</v>
      </c>
      <c r="P614" s="79" t="s">
        <v>453</v>
      </c>
      <c r="Q614" s="79" t="s">
        <v>453</v>
      </c>
    </row>
    <row r="615" spans="1:17" ht="26.4">
      <c r="A615" s="172">
        <f t="shared" si="10"/>
        <v>612</v>
      </c>
      <c r="B615" s="80" t="s">
        <v>1331</v>
      </c>
      <c r="C615" s="80" t="s">
        <v>1332</v>
      </c>
      <c r="F615" s="80" t="s">
        <v>976</v>
      </c>
      <c r="G615" s="80" t="s">
        <v>456</v>
      </c>
      <c r="H615" s="80">
        <v>0</v>
      </c>
      <c r="I615" s="80" t="s">
        <v>456</v>
      </c>
      <c r="J615" s="79">
        <v>4</v>
      </c>
      <c r="K615" s="79">
        <v>0</v>
      </c>
      <c r="L615" s="79">
        <v>0</v>
      </c>
      <c r="M615" s="79" t="s">
        <v>579</v>
      </c>
      <c r="N615" s="79" t="s">
        <v>977</v>
      </c>
      <c r="O615" s="79" t="s">
        <v>453</v>
      </c>
      <c r="P615" s="79" t="s">
        <v>453</v>
      </c>
      <c r="Q615" s="79" t="s">
        <v>453</v>
      </c>
    </row>
    <row r="616" spans="1:17" ht="26.4">
      <c r="A616" s="172">
        <f t="shared" si="10"/>
        <v>613</v>
      </c>
      <c r="B616" s="80" t="s">
        <v>1333</v>
      </c>
      <c r="C616" s="80" t="s">
        <v>1334</v>
      </c>
      <c r="F616" s="80" t="s">
        <v>976</v>
      </c>
      <c r="G616" s="80" t="s">
        <v>456</v>
      </c>
      <c r="H616" s="80">
        <v>0</v>
      </c>
      <c r="I616" s="80" t="s">
        <v>456</v>
      </c>
      <c r="J616" s="79">
        <v>4</v>
      </c>
      <c r="K616" s="79">
        <v>0</v>
      </c>
      <c r="L616" s="79">
        <v>0</v>
      </c>
      <c r="M616" s="79" t="s">
        <v>579</v>
      </c>
      <c r="N616" s="79" t="s">
        <v>977</v>
      </c>
      <c r="O616" s="79" t="s">
        <v>453</v>
      </c>
      <c r="P616" s="79" t="s">
        <v>453</v>
      </c>
      <c r="Q616" s="79" t="s">
        <v>453</v>
      </c>
    </row>
    <row r="617" spans="1:17" ht="26.4">
      <c r="A617" s="172">
        <f t="shared" si="10"/>
        <v>614</v>
      </c>
      <c r="B617" s="80" t="s">
        <v>1335</v>
      </c>
      <c r="C617" s="80" t="s">
        <v>1336</v>
      </c>
      <c r="F617" s="80" t="s">
        <v>976</v>
      </c>
      <c r="G617" s="80" t="s">
        <v>456</v>
      </c>
      <c r="H617" s="80">
        <v>0</v>
      </c>
      <c r="I617" s="80" t="s">
        <v>456</v>
      </c>
      <c r="J617" s="79">
        <v>4</v>
      </c>
      <c r="K617" s="79">
        <v>0</v>
      </c>
      <c r="L617" s="79">
        <v>0</v>
      </c>
      <c r="M617" s="79" t="s">
        <v>579</v>
      </c>
      <c r="N617" s="79" t="s">
        <v>977</v>
      </c>
      <c r="O617" s="79" t="s">
        <v>453</v>
      </c>
      <c r="P617" s="79" t="s">
        <v>453</v>
      </c>
      <c r="Q617" s="79" t="s">
        <v>453</v>
      </c>
    </row>
    <row r="618" spans="1:17" ht="26.4">
      <c r="A618" s="172">
        <f t="shared" si="10"/>
        <v>615</v>
      </c>
      <c r="B618" s="80" t="s">
        <v>1337</v>
      </c>
      <c r="C618" s="80" t="s">
        <v>1338</v>
      </c>
      <c r="F618" s="80" t="s">
        <v>976</v>
      </c>
      <c r="G618" s="80" t="s">
        <v>456</v>
      </c>
      <c r="H618" s="80">
        <v>0</v>
      </c>
      <c r="I618" s="80" t="s">
        <v>456</v>
      </c>
      <c r="J618" s="79">
        <v>4</v>
      </c>
      <c r="K618" s="79">
        <v>0</v>
      </c>
      <c r="L618" s="79">
        <v>0</v>
      </c>
      <c r="M618" s="79" t="s">
        <v>579</v>
      </c>
      <c r="N618" s="79" t="s">
        <v>977</v>
      </c>
      <c r="O618" s="79" t="s">
        <v>453</v>
      </c>
      <c r="P618" s="79" t="s">
        <v>453</v>
      </c>
      <c r="Q618" s="79" t="s">
        <v>453</v>
      </c>
    </row>
    <row r="619" spans="1:17" ht="26.4">
      <c r="A619" s="172">
        <f t="shared" si="10"/>
        <v>616</v>
      </c>
      <c r="B619" s="80" t="s">
        <v>1339</v>
      </c>
      <c r="C619" s="80" t="s">
        <v>1340</v>
      </c>
      <c r="F619" s="80" t="s">
        <v>976</v>
      </c>
      <c r="G619" s="80" t="s">
        <v>456</v>
      </c>
      <c r="H619" s="80">
        <v>0</v>
      </c>
      <c r="I619" s="80" t="s">
        <v>456</v>
      </c>
      <c r="J619" s="79">
        <v>4</v>
      </c>
      <c r="K619" s="79">
        <v>0</v>
      </c>
      <c r="L619" s="79">
        <v>0</v>
      </c>
      <c r="M619" s="79" t="s">
        <v>579</v>
      </c>
      <c r="N619" s="79" t="s">
        <v>977</v>
      </c>
      <c r="O619" s="79" t="s">
        <v>453</v>
      </c>
      <c r="P619" s="79" t="s">
        <v>453</v>
      </c>
      <c r="Q619" s="79" t="s">
        <v>453</v>
      </c>
    </row>
    <row r="620" spans="1:17" ht="26.4">
      <c r="A620" s="172">
        <f t="shared" si="10"/>
        <v>617</v>
      </c>
      <c r="B620" s="80" t="s">
        <v>1341</v>
      </c>
      <c r="C620" s="80" t="s">
        <v>1145</v>
      </c>
      <c r="F620" s="80" t="s">
        <v>976</v>
      </c>
      <c r="G620" s="80" t="s">
        <v>456</v>
      </c>
      <c r="H620" s="80">
        <v>0</v>
      </c>
      <c r="I620" s="80" t="s">
        <v>456</v>
      </c>
      <c r="J620" s="79">
        <v>4</v>
      </c>
      <c r="K620" s="79">
        <v>0</v>
      </c>
      <c r="L620" s="79">
        <v>0</v>
      </c>
      <c r="M620" s="79" t="s">
        <v>579</v>
      </c>
      <c r="N620" s="79" t="s">
        <v>977</v>
      </c>
      <c r="O620" s="79" t="s">
        <v>453</v>
      </c>
      <c r="P620" s="79" t="s">
        <v>453</v>
      </c>
      <c r="Q620" s="79" t="s">
        <v>453</v>
      </c>
    </row>
    <row r="621" spans="1:17" ht="26.4">
      <c r="A621" s="172">
        <f t="shared" si="10"/>
        <v>618</v>
      </c>
      <c r="B621" s="80" t="s">
        <v>1342</v>
      </c>
      <c r="C621" s="80" t="s">
        <v>1147</v>
      </c>
      <c r="F621" s="80" t="s">
        <v>976</v>
      </c>
      <c r="G621" s="80" t="s">
        <v>456</v>
      </c>
      <c r="H621" s="80">
        <v>0</v>
      </c>
      <c r="I621" s="80" t="s">
        <v>456</v>
      </c>
      <c r="J621" s="79">
        <v>4</v>
      </c>
      <c r="K621" s="79">
        <v>0</v>
      </c>
      <c r="L621" s="79">
        <v>0</v>
      </c>
      <c r="M621" s="79" t="s">
        <v>579</v>
      </c>
      <c r="N621" s="79" t="s">
        <v>977</v>
      </c>
      <c r="O621" s="79" t="s">
        <v>453</v>
      </c>
      <c r="P621" s="79" t="s">
        <v>453</v>
      </c>
      <c r="Q621" s="79" t="s">
        <v>453</v>
      </c>
    </row>
    <row r="622" spans="1:17" ht="26.4">
      <c r="A622" s="172">
        <f t="shared" si="10"/>
        <v>619</v>
      </c>
      <c r="B622" s="80" t="s">
        <v>1343</v>
      </c>
      <c r="C622" s="80" t="s">
        <v>1149</v>
      </c>
      <c r="F622" s="80" t="s">
        <v>976</v>
      </c>
      <c r="G622" s="80" t="s">
        <v>456</v>
      </c>
      <c r="H622" s="80">
        <v>0</v>
      </c>
      <c r="I622" s="80" t="s">
        <v>456</v>
      </c>
      <c r="J622" s="79">
        <v>4</v>
      </c>
      <c r="K622" s="79">
        <v>0</v>
      </c>
      <c r="L622" s="79">
        <v>0</v>
      </c>
      <c r="M622" s="79" t="s">
        <v>579</v>
      </c>
      <c r="N622" s="79" t="s">
        <v>977</v>
      </c>
      <c r="O622" s="79" t="s">
        <v>453</v>
      </c>
      <c r="P622" s="79" t="s">
        <v>453</v>
      </c>
      <c r="Q622" s="79" t="s">
        <v>453</v>
      </c>
    </row>
    <row r="623" spans="1:17" ht="26.4">
      <c r="A623" s="172">
        <f t="shared" si="10"/>
        <v>620</v>
      </c>
      <c r="B623" s="80" t="s">
        <v>1344</v>
      </c>
      <c r="C623" s="80" t="s">
        <v>1345</v>
      </c>
      <c r="F623" s="80" t="s">
        <v>976</v>
      </c>
      <c r="G623" s="80" t="s">
        <v>456</v>
      </c>
      <c r="H623" s="80">
        <v>0</v>
      </c>
      <c r="I623" s="80" t="s">
        <v>456</v>
      </c>
      <c r="J623" s="79">
        <v>12</v>
      </c>
      <c r="K623" s="79">
        <v>0</v>
      </c>
      <c r="L623" s="79">
        <v>0</v>
      </c>
      <c r="M623" s="79" t="s">
        <v>579</v>
      </c>
      <c r="N623" s="79" t="s">
        <v>977</v>
      </c>
      <c r="O623" s="79" t="s">
        <v>453</v>
      </c>
      <c r="P623" s="79" t="s">
        <v>453</v>
      </c>
      <c r="Q623" s="79" t="s">
        <v>453</v>
      </c>
    </row>
    <row r="624" spans="1:17">
      <c r="A624" s="172">
        <f t="shared" si="10"/>
        <v>621</v>
      </c>
      <c r="B624" s="80" t="s">
        <v>1346</v>
      </c>
      <c r="C624" s="80" t="s">
        <v>1347</v>
      </c>
      <c r="F624" s="80" t="s">
        <v>976</v>
      </c>
      <c r="G624" s="80" t="s">
        <v>456</v>
      </c>
      <c r="H624" s="80">
        <v>0</v>
      </c>
      <c r="I624" s="80" t="s">
        <v>456</v>
      </c>
      <c r="J624" s="79">
        <v>4</v>
      </c>
      <c r="K624" s="79">
        <v>0</v>
      </c>
      <c r="L624" s="79">
        <v>0</v>
      </c>
      <c r="M624" s="79" t="s">
        <v>579</v>
      </c>
      <c r="N624" s="79" t="s">
        <v>977</v>
      </c>
      <c r="O624" s="79" t="s">
        <v>453</v>
      </c>
      <c r="P624" s="79" t="s">
        <v>453</v>
      </c>
      <c r="Q624" s="79" t="s">
        <v>453</v>
      </c>
    </row>
    <row r="625" spans="1:17">
      <c r="A625" s="172">
        <f t="shared" si="10"/>
        <v>622</v>
      </c>
      <c r="B625" s="80" t="s">
        <v>1348</v>
      </c>
      <c r="C625" s="80" t="s">
        <v>1349</v>
      </c>
      <c r="E625" s="116" t="s">
        <v>1350</v>
      </c>
      <c r="F625" s="80" t="s">
        <v>976</v>
      </c>
      <c r="G625" s="80" t="s">
        <v>456</v>
      </c>
      <c r="H625" s="80">
        <v>0</v>
      </c>
      <c r="I625" s="80" t="s">
        <v>456</v>
      </c>
      <c r="J625" s="79">
        <v>12</v>
      </c>
      <c r="K625" s="79">
        <v>0</v>
      </c>
      <c r="L625" s="79">
        <v>0</v>
      </c>
      <c r="M625" s="79" t="s">
        <v>579</v>
      </c>
      <c r="N625" s="79" t="s">
        <v>977</v>
      </c>
      <c r="O625" s="79" t="s">
        <v>453</v>
      </c>
      <c r="P625" s="79" t="s">
        <v>453</v>
      </c>
      <c r="Q625" s="79" t="s">
        <v>453</v>
      </c>
    </row>
    <row r="626" spans="1:17" ht="35.1" customHeight="1">
      <c r="A626" s="172">
        <f t="shared" si="10"/>
        <v>623</v>
      </c>
      <c r="B626" s="80" t="s">
        <v>1351</v>
      </c>
      <c r="C626" s="80" t="s">
        <v>1352</v>
      </c>
      <c r="F626" s="80" t="s">
        <v>976</v>
      </c>
      <c r="G626" s="80" t="s">
        <v>456</v>
      </c>
      <c r="H626" s="80">
        <v>0</v>
      </c>
      <c r="I626" s="80" t="s">
        <v>456</v>
      </c>
      <c r="J626" s="79">
        <v>12</v>
      </c>
      <c r="K626" s="79">
        <v>0</v>
      </c>
      <c r="L626" s="79">
        <v>0</v>
      </c>
      <c r="M626" s="79" t="s">
        <v>579</v>
      </c>
      <c r="N626" s="79" t="s">
        <v>977</v>
      </c>
      <c r="O626" s="79" t="s">
        <v>453</v>
      </c>
      <c r="P626" s="79" t="s">
        <v>453</v>
      </c>
      <c r="Q626" s="79" t="s">
        <v>453</v>
      </c>
    </row>
    <row r="627" spans="1:17">
      <c r="A627" s="172">
        <f t="shared" si="10"/>
        <v>624</v>
      </c>
      <c r="B627" s="80" t="s">
        <v>1353</v>
      </c>
      <c r="C627" s="80" t="s">
        <v>1354</v>
      </c>
      <c r="F627" s="80" t="s">
        <v>976</v>
      </c>
      <c r="G627" s="80" t="s">
        <v>456</v>
      </c>
      <c r="H627" s="80">
        <v>0</v>
      </c>
      <c r="I627" s="80" t="s">
        <v>456</v>
      </c>
      <c r="J627" s="79">
        <v>4</v>
      </c>
      <c r="K627" s="79">
        <v>0</v>
      </c>
      <c r="L627" s="79">
        <v>0</v>
      </c>
      <c r="M627" s="79" t="s">
        <v>579</v>
      </c>
      <c r="N627" s="79" t="s">
        <v>977</v>
      </c>
      <c r="O627" s="79" t="s">
        <v>453</v>
      </c>
      <c r="P627" s="79" t="s">
        <v>453</v>
      </c>
      <c r="Q627" s="79" t="s">
        <v>453</v>
      </c>
    </row>
    <row r="628" spans="1:17">
      <c r="A628" s="172">
        <f t="shared" si="10"/>
        <v>625</v>
      </c>
      <c r="B628" s="80" t="s">
        <v>1355</v>
      </c>
      <c r="C628" s="80" t="s">
        <v>1356</v>
      </c>
      <c r="F628" s="80" t="s">
        <v>976</v>
      </c>
      <c r="G628" s="80" t="s">
        <v>456</v>
      </c>
      <c r="H628" s="80">
        <v>0</v>
      </c>
      <c r="I628" s="80" t="s">
        <v>456</v>
      </c>
      <c r="J628" s="79">
        <v>12</v>
      </c>
      <c r="K628" s="79">
        <v>0</v>
      </c>
      <c r="L628" s="79">
        <v>0</v>
      </c>
      <c r="M628" s="79" t="s">
        <v>579</v>
      </c>
      <c r="N628" s="79" t="s">
        <v>977</v>
      </c>
      <c r="O628" s="79" t="s">
        <v>453</v>
      </c>
      <c r="P628" s="79" t="s">
        <v>453</v>
      </c>
      <c r="Q628" s="79" t="s">
        <v>453</v>
      </c>
    </row>
    <row r="629" spans="1:17">
      <c r="A629" s="172">
        <f t="shared" si="10"/>
        <v>626</v>
      </c>
      <c r="B629" s="80" t="s">
        <v>1357</v>
      </c>
      <c r="C629" s="80" t="s">
        <v>1358</v>
      </c>
      <c r="F629" s="80" t="s">
        <v>976</v>
      </c>
      <c r="G629" s="80" t="s">
        <v>456</v>
      </c>
      <c r="H629" s="80">
        <v>0</v>
      </c>
      <c r="I629" s="80" t="s">
        <v>456</v>
      </c>
      <c r="J629" s="79">
        <v>4</v>
      </c>
      <c r="K629" s="79">
        <v>0</v>
      </c>
      <c r="L629" s="79">
        <v>0</v>
      </c>
      <c r="M629" s="79" t="s">
        <v>579</v>
      </c>
      <c r="N629" s="79" t="s">
        <v>977</v>
      </c>
      <c r="O629" s="79" t="s">
        <v>453</v>
      </c>
      <c r="P629" s="79" t="s">
        <v>453</v>
      </c>
      <c r="Q629" s="79" t="s">
        <v>453</v>
      </c>
    </row>
    <row r="630" spans="1:17" ht="26.4">
      <c r="A630" s="172">
        <f t="shared" si="10"/>
        <v>627</v>
      </c>
      <c r="B630" s="80" t="s">
        <v>1359</v>
      </c>
      <c r="C630" s="80" t="s">
        <v>1360</v>
      </c>
      <c r="F630" s="80" t="s">
        <v>976</v>
      </c>
      <c r="G630" s="80" t="s">
        <v>456</v>
      </c>
      <c r="H630" s="80">
        <v>0</v>
      </c>
      <c r="I630" s="80" t="s">
        <v>456</v>
      </c>
      <c r="J630" s="79">
        <v>12</v>
      </c>
      <c r="K630" s="79">
        <v>0</v>
      </c>
      <c r="L630" s="79">
        <v>0</v>
      </c>
      <c r="M630" s="79" t="s">
        <v>579</v>
      </c>
      <c r="N630" s="79" t="s">
        <v>977</v>
      </c>
      <c r="O630" s="79" t="s">
        <v>453</v>
      </c>
      <c r="P630" s="79" t="s">
        <v>453</v>
      </c>
      <c r="Q630" s="79" t="s">
        <v>453</v>
      </c>
    </row>
    <row r="631" spans="1:17" ht="26.4">
      <c r="A631" s="172">
        <f t="shared" si="10"/>
        <v>628</v>
      </c>
      <c r="B631" s="80" t="s">
        <v>1361</v>
      </c>
      <c r="C631" s="80" t="s">
        <v>1362</v>
      </c>
      <c r="F631" s="80" t="s">
        <v>976</v>
      </c>
      <c r="H631" s="80">
        <v>0</v>
      </c>
      <c r="I631" s="80" t="s">
        <v>450</v>
      </c>
      <c r="J631" s="79">
        <v>4</v>
      </c>
      <c r="K631" s="79">
        <v>0</v>
      </c>
      <c r="L631" s="79">
        <v>0</v>
      </c>
      <c r="M631" s="79" t="s">
        <v>579</v>
      </c>
      <c r="N631" s="79" t="s">
        <v>977</v>
      </c>
      <c r="O631" s="79" t="s">
        <v>453</v>
      </c>
      <c r="P631" s="79" t="s">
        <v>453</v>
      </c>
      <c r="Q631" s="79" t="s">
        <v>453</v>
      </c>
    </row>
    <row r="632" spans="1:17" ht="26.4">
      <c r="A632" s="172">
        <f t="shared" si="10"/>
        <v>629</v>
      </c>
      <c r="B632" s="80" t="s">
        <v>1363</v>
      </c>
      <c r="C632" s="80" t="s">
        <v>1364</v>
      </c>
      <c r="F632" s="80" t="s">
        <v>976</v>
      </c>
      <c r="H632" s="80">
        <v>0</v>
      </c>
      <c r="I632" s="80" t="s">
        <v>450</v>
      </c>
      <c r="J632" s="79">
        <v>4</v>
      </c>
      <c r="K632" s="79">
        <v>0</v>
      </c>
      <c r="L632" s="79">
        <v>0</v>
      </c>
      <c r="M632" s="79" t="s">
        <v>579</v>
      </c>
      <c r="N632" s="79" t="s">
        <v>977</v>
      </c>
      <c r="O632" s="79" t="s">
        <v>453</v>
      </c>
      <c r="P632" s="79" t="s">
        <v>453</v>
      </c>
      <c r="Q632" s="79" t="s">
        <v>453</v>
      </c>
    </row>
    <row r="633" spans="1:17">
      <c r="A633" s="172">
        <f t="shared" si="10"/>
        <v>630</v>
      </c>
      <c r="B633" s="80" t="s">
        <v>1365</v>
      </c>
      <c r="C633" s="80" t="s">
        <v>1366</v>
      </c>
      <c r="F633" s="80" t="s">
        <v>976</v>
      </c>
      <c r="G633" s="80" t="s">
        <v>456</v>
      </c>
      <c r="H633" s="80">
        <v>0</v>
      </c>
      <c r="I633" s="80" t="s">
        <v>456</v>
      </c>
      <c r="J633" s="79">
        <v>12</v>
      </c>
      <c r="K633" s="79">
        <v>0</v>
      </c>
      <c r="L633" s="79">
        <v>0</v>
      </c>
      <c r="M633" s="79" t="s">
        <v>451</v>
      </c>
      <c r="N633" s="79" t="s">
        <v>977</v>
      </c>
      <c r="O633" s="79" t="s">
        <v>453</v>
      </c>
      <c r="P633" s="79" t="s">
        <v>453</v>
      </c>
      <c r="Q633" s="79" t="s">
        <v>453</v>
      </c>
    </row>
    <row r="634" spans="1:17" ht="26.4">
      <c r="A634" s="172">
        <f t="shared" si="10"/>
        <v>631</v>
      </c>
      <c r="B634" s="80" t="s">
        <v>1367</v>
      </c>
      <c r="C634" s="80" t="s">
        <v>1368</v>
      </c>
      <c r="F634" s="80" t="s">
        <v>976</v>
      </c>
      <c r="G634" s="80" t="s">
        <v>456</v>
      </c>
      <c r="H634" s="80">
        <v>0</v>
      </c>
      <c r="I634" s="80" t="s">
        <v>456</v>
      </c>
      <c r="J634" s="79">
        <v>12</v>
      </c>
      <c r="K634" s="79">
        <v>0</v>
      </c>
      <c r="L634" s="79">
        <v>0</v>
      </c>
      <c r="M634" s="79" t="s">
        <v>451</v>
      </c>
      <c r="N634" s="79" t="s">
        <v>977</v>
      </c>
      <c r="O634" s="79" t="s">
        <v>453</v>
      </c>
      <c r="P634" s="79" t="s">
        <v>453</v>
      </c>
      <c r="Q634" s="79" t="s">
        <v>453</v>
      </c>
    </row>
    <row r="635" spans="1:17" ht="26.4">
      <c r="A635" s="172">
        <f t="shared" si="10"/>
        <v>632</v>
      </c>
      <c r="B635" s="80" t="s">
        <v>1369</v>
      </c>
      <c r="C635" s="80" t="s">
        <v>1370</v>
      </c>
      <c r="F635" s="80" t="s">
        <v>976</v>
      </c>
      <c r="G635" s="80" t="s">
        <v>456</v>
      </c>
      <c r="H635" s="80">
        <v>0</v>
      </c>
      <c r="I635" s="80" t="s">
        <v>456</v>
      </c>
      <c r="J635" s="79">
        <v>12</v>
      </c>
      <c r="K635" s="79">
        <v>0</v>
      </c>
      <c r="L635" s="79">
        <v>0</v>
      </c>
      <c r="M635" s="79" t="s">
        <v>451</v>
      </c>
      <c r="N635" s="79" t="s">
        <v>977</v>
      </c>
      <c r="O635" s="79" t="s">
        <v>453</v>
      </c>
      <c r="P635" s="79" t="s">
        <v>453</v>
      </c>
      <c r="Q635" s="79" t="s">
        <v>453</v>
      </c>
    </row>
    <row r="636" spans="1:17">
      <c r="A636" s="172">
        <f t="shared" si="10"/>
        <v>633</v>
      </c>
      <c r="B636" s="80" t="s">
        <v>1371</v>
      </c>
      <c r="C636" s="80" t="s">
        <v>1372</v>
      </c>
      <c r="F636" s="80" t="s">
        <v>976</v>
      </c>
      <c r="G636" s="80" t="s">
        <v>456</v>
      </c>
      <c r="H636" s="80">
        <v>0</v>
      </c>
      <c r="I636" s="80" t="s">
        <v>456</v>
      </c>
      <c r="J636" s="79">
        <v>4</v>
      </c>
      <c r="K636" s="79">
        <v>0</v>
      </c>
      <c r="L636" s="79">
        <v>0</v>
      </c>
      <c r="M636" s="79" t="s">
        <v>579</v>
      </c>
      <c r="N636" s="79" t="s">
        <v>977</v>
      </c>
      <c r="O636" s="79" t="s">
        <v>453</v>
      </c>
      <c r="P636" s="79" t="s">
        <v>453</v>
      </c>
      <c r="Q636" s="79" t="s">
        <v>453</v>
      </c>
    </row>
    <row r="637" spans="1:17">
      <c r="A637" s="172">
        <f t="shared" si="10"/>
        <v>634</v>
      </c>
      <c r="B637" s="80" t="s">
        <v>1373</v>
      </c>
      <c r="C637" s="80" t="s">
        <v>1374</v>
      </c>
      <c r="D637" s="80" t="s">
        <v>1375</v>
      </c>
      <c r="E637" s="116" t="s">
        <v>1376</v>
      </c>
      <c r="F637" s="80" t="s">
        <v>503</v>
      </c>
      <c r="G637" s="80" t="s">
        <v>456</v>
      </c>
      <c r="H637" s="80">
        <v>0</v>
      </c>
      <c r="I637" s="80" t="s">
        <v>456</v>
      </c>
      <c r="J637" s="79">
        <v>10</v>
      </c>
      <c r="K637" s="79">
        <v>0</v>
      </c>
      <c r="L637" s="79">
        <v>0</v>
      </c>
      <c r="M637" s="79" t="s">
        <v>451</v>
      </c>
      <c r="N637" s="79" t="s">
        <v>452</v>
      </c>
      <c r="O637" s="79" t="s">
        <v>453</v>
      </c>
      <c r="P637" s="79" t="s">
        <v>453</v>
      </c>
      <c r="Q637" s="79" t="s">
        <v>453</v>
      </c>
    </row>
    <row r="638" spans="1:17" ht="26.4">
      <c r="A638" s="172">
        <f t="shared" si="10"/>
        <v>635</v>
      </c>
      <c r="B638" s="80" t="s">
        <v>1377</v>
      </c>
      <c r="C638" s="80" t="s">
        <v>1378</v>
      </c>
      <c r="F638" s="80" t="s">
        <v>976</v>
      </c>
      <c r="G638" s="80" t="s">
        <v>456</v>
      </c>
      <c r="H638" s="80">
        <v>0</v>
      </c>
      <c r="I638" s="80" t="s">
        <v>456</v>
      </c>
      <c r="J638" s="79">
        <v>4</v>
      </c>
      <c r="K638" s="79">
        <v>0</v>
      </c>
      <c r="L638" s="79">
        <v>0</v>
      </c>
      <c r="M638" s="79" t="s">
        <v>579</v>
      </c>
      <c r="N638" s="79" t="s">
        <v>977</v>
      </c>
      <c r="O638" s="79" t="s">
        <v>453</v>
      </c>
      <c r="P638" s="79" t="s">
        <v>453</v>
      </c>
      <c r="Q638" s="79" t="s">
        <v>453</v>
      </c>
    </row>
    <row r="639" spans="1:17">
      <c r="A639" s="172">
        <f t="shared" si="10"/>
        <v>636</v>
      </c>
      <c r="B639" s="80" t="s">
        <v>1379</v>
      </c>
      <c r="C639" s="80" t="s">
        <v>1380</v>
      </c>
      <c r="F639" s="80" t="s">
        <v>976</v>
      </c>
      <c r="G639" s="80" t="s">
        <v>456</v>
      </c>
      <c r="H639" s="80">
        <v>0</v>
      </c>
      <c r="I639" s="80" t="s">
        <v>456</v>
      </c>
      <c r="J639" s="79">
        <v>4</v>
      </c>
      <c r="K639" s="79">
        <v>0</v>
      </c>
      <c r="L639" s="79">
        <v>0</v>
      </c>
      <c r="M639" s="79" t="s">
        <v>579</v>
      </c>
      <c r="N639" s="79" t="s">
        <v>977</v>
      </c>
      <c r="O639" s="79" t="s">
        <v>453</v>
      </c>
      <c r="P639" s="79" t="s">
        <v>453</v>
      </c>
      <c r="Q639" s="79" t="s">
        <v>453</v>
      </c>
    </row>
    <row r="640" spans="1:17" ht="26.4">
      <c r="A640" s="172">
        <f t="shared" si="10"/>
        <v>637</v>
      </c>
      <c r="B640" s="80" t="s">
        <v>1381</v>
      </c>
      <c r="C640" s="80" t="s">
        <v>1382</v>
      </c>
      <c r="F640" s="80" t="s">
        <v>976</v>
      </c>
      <c r="G640" s="80" t="s">
        <v>456</v>
      </c>
      <c r="H640" s="80">
        <v>0</v>
      </c>
      <c r="I640" s="80" t="s">
        <v>456</v>
      </c>
      <c r="J640" s="79">
        <v>4</v>
      </c>
      <c r="K640" s="79">
        <v>0</v>
      </c>
      <c r="L640" s="79">
        <v>0</v>
      </c>
      <c r="M640" s="79" t="s">
        <v>579</v>
      </c>
      <c r="N640" s="79" t="s">
        <v>977</v>
      </c>
      <c r="O640" s="79" t="s">
        <v>453</v>
      </c>
      <c r="P640" s="79" t="s">
        <v>453</v>
      </c>
      <c r="Q640" s="79" t="s">
        <v>453</v>
      </c>
    </row>
    <row r="641" spans="1:17">
      <c r="A641" s="172">
        <f t="shared" si="10"/>
        <v>638</v>
      </c>
      <c r="B641" s="80" t="s">
        <v>1383</v>
      </c>
      <c r="C641" s="80" t="s">
        <v>1384</v>
      </c>
      <c r="F641" s="80" t="s">
        <v>976</v>
      </c>
      <c r="G641" s="80" t="s">
        <v>456</v>
      </c>
      <c r="H641" s="80">
        <v>0</v>
      </c>
      <c r="I641" s="80" t="s">
        <v>456</v>
      </c>
      <c r="J641" s="79">
        <v>4</v>
      </c>
      <c r="K641" s="79">
        <v>0</v>
      </c>
      <c r="L641" s="79">
        <v>0</v>
      </c>
      <c r="M641" s="79" t="s">
        <v>579</v>
      </c>
      <c r="N641" s="79" t="s">
        <v>977</v>
      </c>
      <c r="O641" s="79" t="s">
        <v>453</v>
      </c>
      <c r="P641" s="79" t="s">
        <v>453</v>
      </c>
      <c r="Q641" s="79" t="s">
        <v>453</v>
      </c>
    </row>
    <row r="642" spans="1:17">
      <c r="A642" s="172">
        <f t="shared" si="10"/>
        <v>639</v>
      </c>
      <c r="B642" s="80" t="s">
        <v>1385</v>
      </c>
      <c r="C642" s="80" t="s">
        <v>1386</v>
      </c>
      <c r="F642" s="80" t="s">
        <v>976</v>
      </c>
      <c r="G642" s="80" t="s">
        <v>456</v>
      </c>
      <c r="H642" s="80">
        <v>0</v>
      </c>
      <c r="I642" s="80" t="s">
        <v>456</v>
      </c>
      <c r="J642" s="79">
        <v>4</v>
      </c>
      <c r="K642" s="79">
        <v>0</v>
      </c>
      <c r="L642" s="79">
        <v>0</v>
      </c>
      <c r="M642" s="79" t="s">
        <v>579</v>
      </c>
      <c r="N642" s="79" t="s">
        <v>977</v>
      </c>
      <c r="O642" s="79" t="s">
        <v>453</v>
      </c>
      <c r="P642" s="79" t="s">
        <v>453</v>
      </c>
      <c r="Q642" s="79" t="s">
        <v>453</v>
      </c>
    </row>
    <row r="643" spans="1:17">
      <c r="A643" s="172">
        <f t="shared" si="10"/>
        <v>640</v>
      </c>
      <c r="B643" s="80" t="s">
        <v>1387</v>
      </c>
      <c r="C643" s="80" t="s">
        <v>1388</v>
      </c>
      <c r="F643" s="80" t="s">
        <v>976</v>
      </c>
      <c r="G643" s="80" t="s">
        <v>456</v>
      </c>
      <c r="H643" s="80">
        <v>0</v>
      </c>
      <c r="I643" s="80" t="s">
        <v>456</v>
      </c>
      <c r="J643" s="79">
        <v>4</v>
      </c>
      <c r="K643" s="79">
        <v>0</v>
      </c>
      <c r="L643" s="79">
        <v>0</v>
      </c>
      <c r="M643" s="79" t="s">
        <v>579</v>
      </c>
      <c r="N643" s="79" t="s">
        <v>977</v>
      </c>
      <c r="O643" s="79" t="s">
        <v>453</v>
      </c>
      <c r="P643" s="79" t="s">
        <v>453</v>
      </c>
      <c r="Q643" s="79" t="s">
        <v>453</v>
      </c>
    </row>
    <row r="644" spans="1:17">
      <c r="A644" s="172">
        <f t="shared" si="10"/>
        <v>641</v>
      </c>
      <c r="B644" s="80" t="s">
        <v>1389</v>
      </c>
      <c r="C644" s="80" t="s">
        <v>1390</v>
      </c>
      <c r="F644" s="80" t="s">
        <v>976</v>
      </c>
      <c r="G644" s="80" t="s">
        <v>456</v>
      </c>
      <c r="H644" s="80">
        <v>0</v>
      </c>
      <c r="I644" s="80" t="s">
        <v>456</v>
      </c>
      <c r="J644" s="79">
        <v>12</v>
      </c>
      <c r="K644" s="79">
        <v>0</v>
      </c>
      <c r="L644" s="79">
        <v>0</v>
      </c>
      <c r="M644" s="79" t="s">
        <v>579</v>
      </c>
      <c r="N644" s="79" t="s">
        <v>977</v>
      </c>
      <c r="O644" s="79" t="s">
        <v>453</v>
      </c>
      <c r="P644" s="79" t="s">
        <v>453</v>
      </c>
      <c r="Q644" s="79" t="s">
        <v>453</v>
      </c>
    </row>
    <row r="645" spans="1:17">
      <c r="A645" s="172">
        <f t="shared" si="10"/>
        <v>642</v>
      </c>
      <c r="B645" s="80" t="s">
        <v>1391</v>
      </c>
      <c r="C645" s="80" t="s">
        <v>1392</v>
      </c>
      <c r="F645" s="80" t="s">
        <v>976</v>
      </c>
      <c r="G645" s="80" t="s">
        <v>456</v>
      </c>
      <c r="H645" s="80">
        <v>0</v>
      </c>
      <c r="I645" s="80" t="s">
        <v>456</v>
      </c>
      <c r="J645" s="79">
        <v>4</v>
      </c>
      <c r="K645" s="79">
        <v>0</v>
      </c>
      <c r="L645" s="79">
        <v>0</v>
      </c>
      <c r="M645" s="79" t="s">
        <v>579</v>
      </c>
      <c r="N645" s="79" t="s">
        <v>977</v>
      </c>
      <c r="O645" s="79" t="s">
        <v>453</v>
      </c>
      <c r="P645" s="79" t="s">
        <v>453</v>
      </c>
      <c r="Q645" s="79" t="s">
        <v>453</v>
      </c>
    </row>
    <row r="646" spans="1:17" ht="26.4">
      <c r="A646" s="172">
        <f t="shared" si="10"/>
        <v>643</v>
      </c>
      <c r="B646" s="80" t="s">
        <v>1393</v>
      </c>
      <c r="C646" s="80" t="s">
        <v>1393</v>
      </c>
      <c r="F646" s="80" t="s">
        <v>976</v>
      </c>
      <c r="G646" s="80" t="s">
        <v>456</v>
      </c>
      <c r="H646" s="80">
        <v>0</v>
      </c>
      <c r="I646" s="80" t="s">
        <v>456</v>
      </c>
      <c r="J646" s="79">
        <v>4</v>
      </c>
      <c r="K646" s="79">
        <v>0</v>
      </c>
      <c r="L646" s="79">
        <v>0</v>
      </c>
      <c r="M646" s="79" t="s">
        <v>579</v>
      </c>
      <c r="N646" s="79" t="s">
        <v>977</v>
      </c>
      <c r="O646" s="79" t="s">
        <v>453</v>
      </c>
      <c r="P646" s="79" t="s">
        <v>453</v>
      </c>
      <c r="Q646" s="79" t="s">
        <v>453</v>
      </c>
    </row>
    <row r="647" spans="1:17" ht="26.4">
      <c r="A647" s="172">
        <f t="shared" si="10"/>
        <v>644</v>
      </c>
      <c r="B647" s="80" t="s">
        <v>1394</v>
      </c>
      <c r="C647" s="80" t="s">
        <v>1394</v>
      </c>
      <c r="F647" s="80" t="s">
        <v>976</v>
      </c>
      <c r="G647" s="80" t="s">
        <v>456</v>
      </c>
      <c r="H647" s="80">
        <v>0</v>
      </c>
      <c r="I647" s="80" t="s">
        <v>456</v>
      </c>
      <c r="J647" s="79">
        <v>4</v>
      </c>
      <c r="K647" s="79">
        <v>0</v>
      </c>
      <c r="L647" s="79">
        <v>0</v>
      </c>
      <c r="M647" s="79" t="s">
        <v>579</v>
      </c>
      <c r="N647" s="79" t="s">
        <v>977</v>
      </c>
      <c r="O647" s="79" t="s">
        <v>453</v>
      </c>
      <c r="P647" s="79" t="s">
        <v>453</v>
      </c>
      <c r="Q647" s="79" t="s">
        <v>453</v>
      </c>
    </row>
    <row r="648" spans="1:17" ht="26.4">
      <c r="A648" s="172">
        <f t="shared" si="10"/>
        <v>645</v>
      </c>
      <c r="B648" s="80" t="s">
        <v>1395</v>
      </c>
      <c r="C648" s="80" t="s">
        <v>1395</v>
      </c>
      <c r="F648" s="80" t="s">
        <v>976</v>
      </c>
      <c r="G648" s="80" t="s">
        <v>456</v>
      </c>
      <c r="H648" s="80">
        <v>0</v>
      </c>
      <c r="I648" s="80" t="s">
        <v>456</v>
      </c>
      <c r="J648" s="79">
        <v>4</v>
      </c>
      <c r="K648" s="79">
        <v>0</v>
      </c>
      <c r="L648" s="79">
        <v>0</v>
      </c>
      <c r="M648" s="79" t="s">
        <v>579</v>
      </c>
      <c r="N648" s="79" t="s">
        <v>977</v>
      </c>
      <c r="O648" s="79" t="s">
        <v>453</v>
      </c>
      <c r="P648" s="79" t="s">
        <v>453</v>
      </c>
      <c r="Q648" s="79" t="s">
        <v>453</v>
      </c>
    </row>
    <row r="649" spans="1:17" ht="26.4">
      <c r="A649" s="172">
        <f t="shared" si="10"/>
        <v>646</v>
      </c>
      <c r="B649" s="80" t="s">
        <v>1396</v>
      </c>
      <c r="C649" s="80" t="s">
        <v>1396</v>
      </c>
      <c r="F649" s="80" t="s">
        <v>976</v>
      </c>
      <c r="G649" s="80" t="s">
        <v>456</v>
      </c>
      <c r="H649" s="80">
        <v>0</v>
      </c>
      <c r="I649" s="80" t="s">
        <v>456</v>
      </c>
      <c r="J649" s="79">
        <v>4</v>
      </c>
      <c r="K649" s="79">
        <v>0</v>
      </c>
      <c r="L649" s="79">
        <v>0</v>
      </c>
      <c r="M649" s="79" t="s">
        <v>579</v>
      </c>
      <c r="N649" s="79" t="s">
        <v>977</v>
      </c>
      <c r="O649" s="79" t="s">
        <v>453</v>
      </c>
      <c r="P649" s="79" t="s">
        <v>453</v>
      </c>
      <c r="Q649" s="79" t="s">
        <v>453</v>
      </c>
    </row>
    <row r="650" spans="1:17" ht="26.4">
      <c r="A650" s="172">
        <f t="shared" si="10"/>
        <v>647</v>
      </c>
      <c r="B650" s="80" t="s">
        <v>1397</v>
      </c>
      <c r="C650" s="80" t="s">
        <v>1397</v>
      </c>
      <c r="F650" s="80" t="s">
        <v>976</v>
      </c>
      <c r="G650" s="80" t="s">
        <v>456</v>
      </c>
      <c r="H650" s="80">
        <v>0</v>
      </c>
      <c r="I650" s="80" t="s">
        <v>456</v>
      </c>
      <c r="J650" s="79">
        <v>4</v>
      </c>
      <c r="K650" s="79">
        <v>0</v>
      </c>
      <c r="L650" s="79">
        <v>0</v>
      </c>
      <c r="M650" s="79" t="s">
        <v>579</v>
      </c>
      <c r="N650" s="79" t="s">
        <v>977</v>
      </c>
      <c r="O650" s="79" t="s">
        <v>453</v>
      </c>
      <c r="P650" s="79" t="s">
        <v>453</v>
      </c>
      <c r="Q650" s="79" t="s">
        <v>453</v>
      </c>
    </row>
    <row r="651" spans="1:17" ht="26.4">
      <c r="A651" s="172">
        <f t="shared" si="10"/>
        <v>648</v>
      </c>
      <c r="B651" s="80" t="s">
        <v>1398</v>
      </c>
      <c r="C651" s="80" t="s">
        <v>1398</v>
      </c>
      <c r="F651" s="80" t="s">
        <v>976</v>
      </c>
      <c r="G651" s="80" t="s">
        <v>456</v>
      </c>
      <c r="H651" s="80">
        <v>0</v>
      </c>
      <c r="I651" s="80" t="s">
        <v>456</v>
      </c>
      <c r="J651" s="79">
        <v>4</v>
      </c>
      <c r="K651" s="79">
        <v>0</v>
      </c>
      <c r="L651" s="79">
        <v>0</v>
      </c>
      <c r="M651" s="79" t="s">
        <v>579</v>
      </c>
      <c r="N651" s="79" t="s">
        <v>977</v>
      </c>
      <c r="O651" s="79" t="s">
        <v>453</v>
      </c>
      <c r="P651" s="79" t="s">
        <v>453</v>
      </c>
      <c r="Q651" s="79" t="s">
        <v>453</v>
      </c>
    </row>
    <row r="652" spans="1:17" ht="26.4">
      <c r="A652" s="172">
        <f t="shared" si="10"/>
        <v>649</v>
      </c>
      <c r="B652" s="80" t="s">
        <v>1399</v>
      </c>
      <c r="C652" s="80" t="s">
        <v>1399</v>
      </c>
      <c r="F652" s="80" t="s">
        <v>976</v>
      </c>
      <c r="G652" s="80" t="s">
        <v>456</v>
      </c>
      <c r="H652" s="80">
        <v>0</v>
      </c>
      <c r="I652" s="80" t="s">
        <v>456</v>
      </c>
      <c r="J652" s="79">
        <v>4</v>
      </c>
      <c r="K652" s="79">
        <v>0</v>
      </c>
      <c r="L652" s="79">
        <v>0</v>
      </c>
      <c r="M652" s="79" t="s">
        <v>579</v>
      </c>
      <c r="N652" s="79" t="s">
        <v>977</v>
      </c>
      <c r="O652" s="79" t="s">
        <v>453</v>
      </c>
      <c r="P652" s="79" t="s">
        <v>453</v>
      </c>
      <c r="Q652" s="79" t="s">
        <v>453</v>
      </c>
    </row>
    <row r="653" spans="1:17" ht="26.4">
      <c r="A653" s="172">
        <f t="shared" si="10"/>
        <v>650</v>
      </c>
      <c r="B653" s="80" t="s">
        <v>1400</v>
      </c>
      <c r="C653" s="80" t="s">
        <v>1400</v>
      </c>
      <c r="F653" s="80" t="s">
        <v>976</v>
      </c>
      <c r="G653" s="80" t="s">
        <v>456</v>
      </c>
      <c r="H653" s="80">
        <v>0</v>
      </c>
      <c r="I653" s="80" t="s">
        <v>456</v>
      </c>
      <c r="J653" s="79">
        <v>4</v>
      </c>
      <c r="K653" s="79">
        <v>0</v>
      </c>
      <c r="L653" s="79">
        <v>0</v>
      </c>
      <c r="M653" s="79" t="s">
        <v>579</v>
      </c>
      <c r="N653" s="79" t="s">
        <v>977</v>
      </c>
      <c r="O653" s="79" t="s">
        <v>453</v>
      </c>
      <c r="P653" s="79" t="s">
        <v>453</v>
      </c>
      <c r="Q653" s="79" t="s">
        <v>453</v>
      </c>
    </row>
    <row r="654" spans="1:17" ht="26.4">
      <c r="A654" s="172">
        <f t="shared" si="10"/>
        <v>651</v>
      </c>
      <c r="B654" s="80" t="s">
        <v>1401</v>
      </c>
      <c r="C654" s="80" t="s">
        <v>1401</v>
      </c>
      <c r="F654" s="80" t="s">
        <v>976</v>
      </c>
      <c r="G654" s="80" t="s">
        <v>456</v>
      </c>
      <c r="H654" s="80">
        <v>0</v>
      </c>
      <c r="I654" s="80" t="s">
        <v>456</v>
      </c>
      <c r="J654" s="79">
        <v>4</v>
      </c>
      <c r="K654" s="79">
        <v>0</v>
      </c>
      <c r="L654" s="79">
        <v>0</v>
      </c>
      <c r="M654" s="79" t="s">
        <v>579</v>
      </c>
      <c r="N654" s="79" t="s">
        <v>977</v>
      </c>
      <c r="O654" s="79" t="s">
        <v>453</v>
      </c>
      <c r="P654" s="79" t="s">
        <v>453</v>
      </c>
      <c r="Q654" s="79" t="s">
        <v>453</v>
      </c>
    </row>
    <row r="655" spans="1:17" ht="26.4">
      <c r="A655" s="172">
        <f t="shared" si="10"/>
        <v>652</v>
      </c>
      <c r="B655" s="80" t="s">
        <v>1402</v>
      </c>
      <c r="C655" s="80" t="s">
        <v>1402</v>
      </c>
      <c r="F655" s="80" t="s">
        <v>976</v>
      </c>
      <c r="G655" s="80" t="s">
        <v>456</v>
      </c>
      <c r="H655" s="80">
        <v>0</v>
      </c>
      <c r="I655" s="80" t="s">
        <v>456</v>
      </c>
      <c r="J655" s="79">
        <v>4</v>
      </c>
      <c r="K655" s="79">
        <v>0</v>
      </c>
      <c r="L655" s="79">
        <v>0</v>
      </c>
      <c r="M655" s="79" t="s">
        <v>579</v>
      </c>
      <c r="N655" s="79" t="s">
        <v>977</v>
      </c>
      <c r="O655" s="79" t="s">
        <v>453</v>
      </c>
      <c r="P655" s="79" t="s">
        <v>453</v>
      </c>
      <c r="Q655" s="79" t="s">
        <v>453</v>
      </c>
    </row>
    <row r="656" spans="1:17" ht="26.4">
      <c r="A656" s="172">
        <f t="shared" si="10"/>
        <v>653</v>
      </c>
      <c r="B656" s="80" t="s">
        <v>1403</v>
      </c>
      <c r="C656" s="80" t="s">
        <v>1403</v>
      </c>
      <c r="F656" s="80" t="s">
        <v>976</v>
      </c>
      <c r="G656" s="80" t="s">
        <v>456</v>
      </c>
      <c r="H656" s="80">
        <v>0</v>
      </c>
      <c r="I656" s="80" t="s">
        <v>456</v>
      </c>
      <c r="J656" s="79">
        <v>4</v>
      </c>
      <c r="K656" s="79">
        <v>0</v>
      </c>
      <c r="L656" s="79">
        <v>0</v>
      </c>
      <c r="M656" s="79" t="s">
        <v>579</v>
      </c>
      <c r="N656" s="79" t="s">
        <v>977</v>
      </c>
      <c r="O656" s="79" t="s">
        <v>453</v>
      </c>
      <c r="P656" s="79" t="s">
        <v>453</v>
      </c>
      <c r="Q656" s="79" t="s">
        <v>453</v>
      </c>
    </row>
    <row r="657" spans="1:17" ht="26.4">
      <c r="A657" s="172">
        <f t="shared" si="10"/>
        <v>654</v>
      </c>
      <c r="B657" s="80" t="s">
        <v>1404</v>
      </c>
      <c r="C657" s="80" t="s">
        <v>1404</v>
      </c>
      <c r="F657" s="80" t="s">
        <v>976</v>
      </c>
      <c r="G657" s="80" t="s">
        <v>456</v>
      </c>
      <c r="H657" s="80">
        <v>0</v>
      </c>
      <c r="I657" s="80" t="s">
        <v>456</v>
      </c>
      <c r="J657" s="79">
        <v>4</v>
      </c>
      <c r="K657" s="79">
        <v>0</v>
      </c>
      <c r="L657" s="79">
        <v>0</v>
      </c>
      <c r="M657" s="79" t="s">
        <v>579</v>
      </c>
      <c r="N657" s="79" t="s">
        <v>977</v>
      </c>
      <c r="O657" s="79" t="s">
        <v>453</v>
      </c>
      <c r="P657" s="79" t="s">
        <v>453</v>
      </c>
      <c r="Q657" s="79" t="s">
        <v>453</v>
      </c>
    </row>
    <row r="658" spans="1:17" ht="26.4">
      <c r="A658" s="172">
        <f t="shared" si="10"/>
        <v>655</v>
      </c>
      <c r="B658" s="80" t="s">
        <v>1405</v>
      </c>
      <c r="C658" s="80" t="s">
        <v>1405</v>
      </c>
      <c r="F658" s="80" t="s">
        <v>976</v>
      </c>
      <c r="G658" s="80" t="s">
        <v>456</v>
      </c>
      <c r="H658" s="80">
        <v>0</v>
      </c>
      <c r="I658" s="80" t="s">
        <v>456</v>
      </c>
      <c r="J658" s="79">
        <v>4</v>
      </c>
      <c r="K658" s="79">
        <v>0</v>
      </c>
      <c r="L658" s="79">
        <v>0</v>
      </c>
      <c r="M658" s="79" t="s">
        <v>579</v>
      </c>
      <c r="N658" s="79" t="s">
        <v>977</v>
      </c>
      <c r="O658" s="79" t="s">
        <v>453</v>
      </c>
      <c r="P658" s="79" t="s">
        <v>453</v>
      </c>
      <c r="Q658" s="79" t="s">
        <v>453</v>
      </c>
    </row>
    <row r="659" spans="1:17" ht="26.4">
      <c r="A659" s="172">
        <f t="shared" si="10"/>
        <v>656</v>
      </c>
      <c r="B659" s="80" t="s">
        <v>1406</v>
      </c>
      <c r="C659" s="80" t="s">
        <v>1406</v>
      </c>
      <c r="F659" s="80" t="s">
        <v>976</v>
      </c>
      <c r="G659" s="80" t="s">
        <v>456</v>
      </c>
      <c r="H659" s="80">
        <v>0</v>
      </c>
      <c r="I659" s="80" t="s">
        <v>456</v>
      </c>
      <c r="J659" s="79">
        <v>4</v>
      </c>
      <c r="K659" s="79">
        <v>0</v>
      </c>
      <c r="L659" s="79">
        <v>0</v>
      </c>
      <c r="M659" s="79" t="s">
        <v>579</v>
      </c>
      <c r="N659" s="79" t="s">
        <v>977</v>
      </c>
      <c r="O659" s="79" t="s">
        <v>453</v>
      </c>
      <c r="P659" s="79" t="s">
        <v>453</v>
      </c>
      <c r="Q659" s="79" t="s">
        <v>453</v>
      </c>
    </row>
    <row r="660" spans="1:17" ht="26.4">
      <c r="A660" s="172">
        <f t="shared" si="10"/>
        <v>657</v>
      </c>
      <c r="B660" s="80" t="s">
        <v>1407</v>
      </c>
      <c r="C660" s="80" t="s">
        <v>1407</v>
      </c>
      <c r="F660" s="80" t="s">
        <v>976</v>
      </c>
      <c r="G660" s="80" t="s">
        <v>456</v>
      </c>
      <c r="H660" s="80">
        <v>0</v>
      </c>
      <c r="I660" s="80" t="s">
        <v>456</v>
      </c>
      <c r="J660" s="79">
        <v>4</v>
      </c>
      <c r="K660" s="79">
        <v>0</v>
      </c>
      <c r="L660" s="79">
        <v>0</v>
      </c>
      <c r="M660" s="79" t="s">
        <v>579</v>
      </c>
      <c r="N660" s="79" t="s">
        <v>977</v>
      </c>
      <c r="O660" s="79" t="s">
        <v>453</v>
      </c>
      <c r="P660" s="79" t="s">
        <v>453</v>
      </c>
      <c r="Q660" s="79" t="s">
        <v>453</v>
      </c>
    </row>
    <row r="661" spans="1:17" ht="26.4">
      <c r="A661" s="172">
        <f t="shared" si="10"/>
        <v>658</v>
      </c>
      <c r="B661" s="80" t="s">
        <v>1408</v>
      </c>
      <c r="C661" s="80" t="s">
        <v>1408</v>
      </c>
      <c r="F661" s="80" t="s">
        <v>976</v>
      </c>
      <c r="G661" s="80" t="s">
        <v>456</v>
      </c>
      <c r="H661" s="80">
        <v>0</v>
      </c>
      <c r="I661" s="80" t="s">
        <v>456</v>
      </c>
      <c r="J661" s="79">
        <v>4</v>
      </c>
      <c r="K661" s="79">
        <v>0</v>
      </c>
      <c r="L661" s="79">
        <v>0</v>
      </c>
      <c r="M661" s="79" t="s">
        <v>579</v>
      </c>
      <c r="N661" s="79" t="s">
        <v>977</v>
      </c>
      <c r="O661" s="79" t="s">
        <v>453</v>
      </c>
      <c r="P661" s="79" t="s">
        <v>453</v>
      </c>
      <c r="Q661" s="79" t="s">
        <v>453</v>
      </c>
    </row>
    <row r="662" spans="1:17" ht="26.4">
      <c r="A662" s="172">
        <f t="shared" ref="A662:A725" si="11">A661+1</f>
        <v>659</v>
      </c>
      <c r="B662" s="80" t="s">
        <v>1409</v>
      </c>
      <c r="C662" s="80" t="s">
        <v>1409</v>
      </c>
      <c r="F662" s="80" t="s">
        <v>976</v>
      </c>
      <c r="G662" s="80" t="s">
        <v>456</v>
      </c>
      <c r="H662" s="80">
        <v>0</v>
      </c>
      <c r="I662" s="80" t="s">
        <v>456</v>
      </c>
      <c r="J662" s="79">
        <v>4</v>
      </c>
      <c r="K662" s="79">
        <v>0</v>
      </c>
      <c r="L662" s="79">
        <v>0</v>
      </c>
      <c r="M662" s="79" t="s">
        <v>579</v>
      </c>
      <c r="N662" s="79" t="s">
        <v>977</v>
      </c>
      <c r="O662" s="79" t="s">
        <v>453</v>
      </c>
      <c r="P662" s="79" t="s">
        <v>453</v>
      </c>
      <c r="Q662" s="79" t="s">
        <v>453</v>
      </c>
    </row>
    <row r="663" spans="1:17" ht="26.4">
      <c r="A663" s="172">
        <f t="shared" si="11"/>
        <v>660</v>
      </c>
      <c r="B663" s="80" t="s">
        <v>1410</v>
      </c>
      <c r="C663" s="80" t="s">
        <v>1410</v>
      </c>
      <c r="F663" s="80" t="s">
        <v>976</v>
      </c>
      <c r="G663" s="80" t="s">
        <v>456</v>
      </c>
      <c r="H663" s="80">
        <v>0</v>
      </c>
      <c r="I663" s="80" t="s">
        <v>456</v>
      </c>
      <c r="J663" s="79">
        <v>4</v>
      </c>
      <c r="K663" s="79">
        <v>0</v>
      </c>
      <c r="L663" s="79">
        <v>0</v>
      </c>
      <c r="M663" s="79" t="s">
        <v>579</v>
      </c>
      <c r="N663" s="79" t="s">
        <v>977</v>
      </c>
      <c r="O663" s="79" t="s">
        <v>453</v>
      </c>
      <c r="P663" s="79" t="s">
        <v>453</v>
      </c>
      <c r="Q663" s="79" t="s">
        <v>453</v>
      </c>
    </row>
    <row r="664" spans="1:17" ht="26.4">
      <c r="A664" s="172">
        <f t="shared" si="11"/>
        <v>661</v>
      </c>
      <c r="B664" s="80" t="s">
        <v>1411</v>
      </c>
      <c r="C664" s="80" t="s">
        <v>1412</v>
      </c>
      <c r="F664" s="80" t="s">
        <v>976</v>
      </c>
      <c r="G664" s="80" t="s">
        <v>456</v>
      </c>
      <c r="H664" s="80">
        <v>0</v>
      </c>
      <c r="I664" s="80" t="s">
        <v>456</v>
      </c>
      <c r="J664" s="79">
        <v>4</v>
      </c>
      <c r="K664" s="79">
        <v>0</v>
      </c>
      <c r="L664" s="79">
        <v>0</v>
      </c>
      <c r="M664" s="79" t="s">
        <v>579</v>
      </c>
      <c r="N664" s="79" t="s">
        <v>977</v>
      </c>
      <c r="O664" s="79" t="s">
        <v>453</v>
      </c>
      <c r="P664" s="79" t="s">
        <v>453</v>
      </c>
      <c r="Q664" s="79" t="s">
        <v>453</v>
      </c>
    </row>
    <row r="665" spans="1:17" ht="26.4">
      <c r="A665" s="172">
        <f t="shared" si="11"/>
        <v>662</v>
      </c>
      <c r="B665" s="80" t="s">
        <v>1413</v>
      </c>
      <c r="C665" s="80" t="s">
        <v>1414</v>
      </c>
      <c r="F665" s="80" t="s">
        <v>976</v>
      </c>
      <c r="G665" s="80" t="s">
        <v>456</v>
      </c>
      <c r="H665" s="80">
        <v>0</v>
      </c>
      <c r="I665" s="80" t="s">
        <v>456</v>
      </c>
      <c r="J665" s="79">
        <v>4</v>
      </c>
      <c r="K665" s="79">
        <v>0</v>
      </c>
      <c r="L665" s="79">
        <v>0</v>
      </c>
      <c r="M665" s="79" t="s">
        <v>579</v>
      </c>
      <c r="N665" s="79" t="s">
        <v>977</v>
      </c>
      <c r="O665" s="79" t="s">
        <v>453</v>
      </c>
      <c r="P665" s="79" t="s">
        <v>453</v>
      </c>
      <c r="Q665" s="79" t="s">
        <v>453</v>
      </c>
    </row>
    <row r="666" spans="1:17" ht="26.4">
      <c r="A666" s="172">
        <f t="shared" si="11"/>
        <v>663</v>
      </c>
      <c r="B666" s="80" t="s">
        <v>1415</v>
      </c>
      <c r="C666" s="80" t="s">
        <v>1416</v>
      </c>
      <c r="F666" s="80" t="s">
        <v>976</v>
      </c>
      <c r="G666" s="80" t="s">
        <v>456</v>
      </c>
      <c r="H666" s="80">
        <v>0</v>
      </c>
      <c r="I666" s="80" t="s">
        <v>456</v>
      </c>
      <c r="J666" s="79">
        <v>4</v>
      </c>
      <c r="K666" s="79">
        <v>0</v>
      </c>
      <c r="L666" s="79">
        <v>0</v>
      </c>
      <c r="M666" s="79" t="s">
        <v>579</v>
      </c>
      <c r="N666" s="79" t="s">
        <v>977</v>
      </c>
      <c r="O666" s="79" t="s">
        <v>453</v>
      </c>
      <c r="P666" s="79" t="s">
        <v>453</v>
      </c>
      <c r="Q666" s="79" t="s">
        <v>453</v>
      </c>
    </row>
    <row r="667" spans="1:17" ht="26.4">
      <c r="A667" s="172">
        <f t="shared" si="11"/>
        <v>664</v>
      </c>
      <c r="B667" s="80" t="s">
        <v>1417</v>
      </c>
      <c r="C667" s="80" t="s">
        <v>1418</v>
      </c>
      <c r="F667" s="80" t="s">
        <v>976</v>
      </c>
      <c r="G667" s="80" t="s">
        <v>456</v>
      </c>
      <c r="H667" s="80">
        <v>0</v>
      </c>
      <c r="I667" s="80" t="s">
        <v>456</v>
      </c>
      <c r="J667" s="79">
        <v>12</v>
      </c>
      <c r="K667" s="79">
        <v>0</v>
      </c>
      <c r="L667" s="79">
        <v>0</v>
      </c>
      <c r="M667" s="79" t="s">
        <v>579</v>
      </c>
      <c r="N667" s="79" t="s">
        <v>977</v>
      </c>
      <c r="O667" s="79" t="s">
        <v>453</v>
      </c>
      <c r="P667" s="79" t="s">
        <v>453</v>
      </c>
      <c r="Q667" s="79" t="s">
        <v>453</v>
      </c>
    </row>
    <row r="668" spans="1:17">
      <c r="A668" s="172">
        <f t="shared" si="11"/>
        <v>665</v>
      </c>
      <c r="B668" s="80" t="s">
        <v>1419</v>
      </c>
      <c r="C668" s="80" t="s">
        <v>511</v>
      </c>
      <c r="E668" s="116" t="s">
        <v>1420</v>
      </c>
      <c r="F668" s="116" t="s">
        <v>513</v>
      </c>
      <c r="G668" s="80" t="s">
        <v>456</v>
      </c>
      <c r="H668" s="80">
        <v>0</v>
      </c>
      <c r="I668" s="80" t="s">
        <v>456</v>
      </c>
      <c r="J668" s="79">
        <v>3</v>
      </c>
      <c r="K668" s="79">
        <v>3</v>
      </c>
      <c r="L668" s="79">
        <v>0</v>
      </c>
      <c r="M668" s="79" t="s">
        <v>514</v>
      </c>
      <c r="N668" s="79" t="s">
        <v>452</v>
      </c>
      <c r="O668" s="79" t="s">
        <v>452</v>
      </c>
      <c r="P668" s="79" t="s">
        <v>452</v>
      </c>
      <c r="Q668" s="79" t="s">
        <v>452</v>
      </c>
    </row>
    <row r="669" spans="1:17" ht="26.4">
      <c r="A669" s="172">
        <f t="shared" si="11"/>
        <v>666</v>
      </c>
      <c r="B669" s="80" t="s">
        <v>1421</v>
      </c>
      <c r="C669" s="80" t="s">
        <v>1422</v>
      </c>
      <c r="D669" s="80" t="s">
        <v>1421</v>
      </c>
      <c r="E669" s="116" t="s">
        <v>1423</v>
      </c>
      <c r="F669" s="80" t="s">
        <v>503</v>
      </c>
      <c r="G669" s="80" t="s">
        <v>456</v>
      </c>
      <c r="H669" s="80">
        <v>0</v>
      </c>
      <c r="I669" s="80" t="s">
        <v>456</v>
      </c>
      <c r="J669" s="79">
        <v>10</v>
      </c>
      <c r="K669" s="79">
        <v>0</v>
      </c>
      <c r="L669" s="79">
        <v>0</v>
      </c>
      <c r="M669" s="79" t="s">
        <v>451</v>
      </c>
      <c r="N669" s="79" t="s">
        <v>452</v>
      </c>
      <c r="O669" s="79" t="s">
        <v>453</v>
      </c>
      <c r="P669" s="79" t="s">
        <v>453</v>
      </c>
      <c r="Q669" s="79" t="s">
        <v>453</v>
      </c>
    </row>
    <row r="670" spans="1:17">
      <c r="A670" s="172">
        <f t="shared" si="11"/>
        <v>667</v>
      </c>
      <c r="B670" s="80" t="s">
        <v>1424</v>
      </c>
      <c r="C670" s="80" t="s">
        <v>511</v>
      </c>
      <c r="F670" s="80" t="s">
        <v>513</v>
      </c>
      <c r="G670" s="80" t="s">
        <v>456</v>
      </c>
      <c r="H670" s="80">
        <v>0</v>
      </c>
      <c r="I670" s="80" t="s">
        <v>456</v>
      </c>
      <c r="J670" s="79">
        <v>3</v>
      </c>
      <c r="K670" s="79">
        <v>2</v>
      </c>
      <c r="L670" s="79">
        <v>0</v>
      </c>
      <c r="M670" s="79" t="s">
        <v>514</v>
      </c>
      <c r="N670" s="79" t="s">
        <v>452</v>
      </c>
      <c r="O670" s="79" t="s">
        <v>452</v>
      </c>
      <c r="P670" s="79" t="s">
        <v>452</v>
      </c>
      <c r="Q670" s="79" t="s">
        <v>452</v>
      </c>
    </row>
    <row r="671" spans="1:17" ht="26.4">
      <c r="A671" s="172">
        <f t="shared" si="11"/>
        <v>668</v>
      </c>
      <c r="B671" s="80" t="s">
        <v>1425</v>
      </c>
      <c r="C671" s="80" t="s">
        <v>1426</v>
      </c>
      <c r="F671" s="80" t="s">
        <v>513</v>
      </c>
      <c r="G671" s="80" t="s">
        <v>456</v>
      </c>
      <c r="H671" s="80">
        <v>0</v>
      </c>
      <c r="I671" s="80" t="s">
        <v>456</v>
      </c>
      <c r="J671" s="79">
        <v>7</v>
      </c>
      <c r="K671" s="79">
        <v>2</v>
      </c>
      <c r="L671" s="79">
        <v>0</v>
      </c>
      <c r="M671" s="79" t="s">
        <v>514</v>
      </c>
      <c r="N671" s="79" t="s">
        <v>452</v>
      </c>
      <c r="O671" s="79" t="s">
        <v>453</v>
      </c>
      <c r="P671" s="79" t="s">
        <v>453</v>
      </c>
      <c r="Q671" s="79" t="s">
        <v>453</v>
      </c>
    </row>
    <row r="672" spans="1:17">
      <c r="A672" s="172">
        <f t="shared" si="11"/>
        <v>669</v>
      </c>
      <c r="B672" s="80" t="s">
        <v>1427</v>
      </c>
      <c r="C672" s="80" t="s">
        <v>511</v>
      </c>
      <c r="F672" s="80" t="s">
        <v>513</v>
      </c>
      <c r="G672" s="80" t="s">
        <v>456</v>
      </c>
      <c r="H672" s="80">
        <v>0</v>
      </c>
      <c r="I672" s="80" t="s">
        <v>456</v>
      </c>
      <c r="J672" s="79">
        <v>2</v>
      </c>
      <c r="K672" s="79">
        <v>0</v>
      </c>
      <c r="L672" s="79">
        <v>0</v>
      </c>
      <c r="M672" s="79" t="s">
        <v>514</v>
      </c>
      <c r="N672" s="79" t="s">
        <v>452</v>
      </c>
      <c r="O672" s="79" t="s">
        <v>452</v>
      </c>
      <c r="P672" s="79" t="s">
        <v>452</v>
      </c>
      <c r="Q672" s="79" t="s">
        <v>452</v>
      </c>
    </row>
    <row r="673" spans="1:17">
      <c r="A673" s="172">
        <f t="shared" si="11"/>
        <v>670</v>
      </c>
      <c r="B673" s="80" t="s">
        <v>1428</v>
      </c>
      <c r="C673" s="80" t="s">
        <v>511</v>
      </c>
      <c r="F673" s="80" t="s">
        <v>513</v>
      </c>
      <c r="G673" s="80" t="s">
        <v>456</v>
      </c>
      <c r="H673" s="80">
        <v>0</v>
      </c>
      <c r="I673" s="80" t="s">
        <v>456</v>
      </c>
      <c r="J673" s="79">
        <v>4</v>
      </c>
      <c r="K673" s="79">
        <v>0</v>
      </c>
      <c r="L673" s="79">
        <v>0</v>
      </c>
      <c r="M673" s="79" t="s">
        <v>514</v>
      </c>
      <c r="N673" s="79" t="s">
        <v>452</v>
      </c>
      <c r="O673" s="79" t="s">
        <v>452</v>
      </c>
    </row>
    <row r="674" spans="1:17">
      <c r="A674" s="172">
        <f t="shared" si="11"/>
        <v>671</v>
      </c>
      <c r="B674" s="80" t="s">
        <v>1429</v>
      </c>
      <c r="C674" s="80" t="s">
        <v>511</v>
      </c>
      <c r="F674" s="80" t="s">
        <v>513</v>
      </c>
      <c r="G674" s="80" t="s">
        <v>456</v>
      </c>
      <c r="H674" s="80">
        <v>0</v>
      </c>
      <c r="I674" s="80" t="s">
        <v>456</v>
      </c>
      <c r="J674" s="79">
        <v>2</v>
      </c>
      <c r="K674" s="79">
        <v>0</v>
      </c>
      <c r="L674" s="79">
        <v>0</v>
      </c>
      <c r="M674" s="79" t="s">
        <v>514</v>
      </c>
      <c r="N674" s="79" t="s">
        <v>452</v>
      </c>
      <c r="O674" s="79" t="s">
        <v>452</v>
      </c>
    </row>
    <row r="675" spans="1:17">
      <c r="A675" s="172">
        <f t="shared" si="11"/>
        <v>672</v>
      </c>
      <c r="B675" s="80" t="s">
        <v>1430</v>
      </c>
      <c r="C675" s="80" t="s">
        <v>511</v>
      </c>
      <c r="F675" s="80" t="s">
        <v>513</v>
      </c>
      <c r="G675" s="80" t="s">
        <v>456</v>
      </c>
      <c r="H675" s="80">
        <v>0</v>
      </c>
      <c r="I675" s="80" t="s">
        <v>456</v>
      </c>
      <c r="J675" s="79">
        <v>4</v>
      </c>
      <c r="K675" s="79">
        <v>0</v>
      </c>
      <c r="L675" s="79">
        <v>0</v>
      </c>
      <c r="M675" s="79" t="s">
        <v>514</v>
      </c>
      <c r="N675" s="79" t="s">
        <v>452</v>
      </c>
      <c r="O675" s="79" t="s">
        <v>452</v>
      </c>
    </row>
    <row r="676" spans="1:17">
      <c r="A676" s="172">
        <f t="shared" si="11"/>
        <v>673</v>
      </c>
      <c r="B676" s="80" t="s">
        <v>1431</v>
      </c>
      <c r="C676" s="80" t="s">
        <v>511</v>
      </c>
      <c r="F676" s="80" t="s">
        <v>513</v>
      </c>
      <c r="G676" s="80" t="s">
        <v>456</v>
      </c>
      <c r="H676" s="80">
        <v>0</v>
      </c>
      <c r="I676" s="80" t="s">
        <v>456</v>
      </c>
      <c r="J676" s="79">
        <v>2</v>
      </c>
      <c r="K676" s="79">
        <v>0</v>
      </c>
      <c r="L676" s="79">
        <v>0</v>
      </c>
      <c r="M676" s="79" t="s">
        <v>514</v>
      </c>
      <c r="N676" s="79" t="s">
        <v>452</v>
      </c>
      <c r="O676" s="79" t="s">
        <v>452</v>
      </c>
    </row>
    <row r="677" spans="1:17">
      <c r="A677" s="172">
        <f t="shared" si="11"/>
        <v>674</v>
      </c>
      <c r="B677" s="80" t="s">
        <v>1432</v>
      </c>
      <c r="C677" s="80" t="s">
        <v>511</v>
      </c>
      <c r="F677" s="80" t="s">
        <v>513</v>
      </c>
      <c r="G677" s="80" t="s">
        <v>456</v>
      </c>
      <c r="H677" s="80">
        <v>0</v>
      </c>
      <c r="I677" s="80" t="s">
        <v>456</v>
      </c>
      <c r="J677" s="79">
        <v>4</v>
      </c>
      <c r="K677" s="79">
        <v>0</v>
      </c>
      <c r="L677" s="79">
        <v>0</v>
      </c>
      <c r="M677" s="79" t="s">
        <v>514</v>
      </c>
      <c r="N677" s="79" t="s">
        <v>452</v>
      </c>
      <c r="O677" s="79" t="s">
        <v>452</v>
      </c>
    </row>
    <row r="678" spans="1:17">
      <c r="A678" s="172">
        <f t="shared" si="11"/>
        <v>675</v>
      </c>
      <c r="B678" s="80" t="s">
        <v>1433</v>
      </c>
      <c r="C678" s="80" t="s">
        <v>511</v>
      </c>
      <c r="E678" s="116" t="s">
        <v>1434</v>
      </c>
      <c r="F678" s="80" t="s">
        <v>513</v>
      </c>
      <c r="G678" s="80" t="s">
        <v>456</v>
      </c>
      <c r="H678" s="80">
        <v>0</v>
      </c>
      <c r="I678" s="80" t="s">
        <v>456</v>
      </c>
      <c r="J678" s="79">
        <v>5</v>
      </c>
      <c r="K678" s="79">
        <v>0</v>
      </c>
      <c r="L678" s="79">
        <v>0</v>
      </c>
      <c r="M678" s="79" t="s">
        <v>514</v>
      </c>
      <c r="N678" s="79" t="s">
        <v>452</v>
      </c>
      <c r="O678" s="79" t="s">
        <v>452</v>
      </c>
      <c r="P678" s="79" t="s">
        <v>452</v>
      </c>
      <c r="Q678" s="79" t="s">
        <v>452</v>
      </c>
    </row>
    <row r="679" spans="1:17">
      <c r="A679" s="172">
        <f t="shared" si="11"/>
        <v>676</v>
      </c>
      <c r="B679" s="80" t="s">
        <v>1435</v>
      </c>
      <c r="C679" s="80" t="s">
        <v>511</v>
      </c>
      <c r="E679" s="116" t="s">
        <v>1436</v>
      </c>
      <c r="F679" s="80" t="s">
        <v>513</v>
      </c>
      <c r="G679" s="80" t="s">
        <v>456</v>
      </c>
      <c r="H679" s="80">
        <v>0</v>
      </c>
      <c r="I679" s="80" t="s">
        <v>456</v>
      </c>
      <c r="J679" s="79">
        <v>5</v>
      </c>
      <c r="K679" s="79">
        <v>0</v>
      </c>
      <c r="L679" s="79">
        <v>0</v>
      </c>
      <c r="M679" s="79" t="s">
        <v>514</v>
      </c>
      <c r="N679" s="79" t="s">
        <v>452</v>
      </c>
      <c r="O679" s="79" t="s">
        <v>452</v>
      </c>
      <c r="P679" s="79" t="s">
        <v>452</v>
      </c>
      <c r="Q679" s="79" t="s">
        <v>452</v>
      </c>
    </row>
    <row r="680" spans="1:17">
      <c r="A680" s="172">
        <f t="shared" si="11"/>
        <v>677</v>
      </c>
      <c r="B680" s="80" t="s">
        <v>1437</v>
      </c>
      <c r="C680" s="80" t="s">
        <v>511</v>
      </c>
      <c r="E680" s="116" t="s">
        <v>1438</v>
      </c>
      <c r="F680" s="80" t="s">
        <v>513</v>
      </c>
      <c r="G680" s="80" t="s">
        <v>456</v>
      </c>
      <c r="H680" s="80">
        <v>0</v>
      </c>
      <c r="I680" s="80" t="s">
        <v>456</v>
      </c>
      <c r="J680" s="79">
        <v>7</v>
      </c>
      <c r="K680" s="79">
        <v>2</v>
      </c>
      <c r="L680" s="79">
        <v>0</v>
      </c>
      <c r="M680" s="79" t="s">
        <v>514</v>
      </c>
      <c r="N680" s="79" t="s">
        <v>452</v>
      </c>
      <c r="O680" s="79" t="s">
        <v>452</v>
      </c>
      <c r="P680" s="79" t="s">
        <v>452</v>
      </c>
      <c r="Q680" s="79" t="s">
        <v>452</v>
      </c>
    </row>
    <row r="681" spans="1:17">
      <c r="A681" s="172">
        <f t="shared" si="11"/>
        <v>678</v>
      </c>
      <c r="B681" s="80" t="s">
        <v>1439</v>
      </c>
      <c r="C681" s="80" t="s">
        <v>511</v>
      </c>
      <c r="E681" s="116" t="s">
        <v>1440</v>
      </c>
      <c r="F681" s="80" t="s">
        <v>513</v>
      </c>
      <c r="G681" s="80" t="s">
        <v>456</v>
      </c>
      <c r="H681" s="80">
        <v>0</v>
      </c>
      <c r="I681" s="80" t="s">
        <v>456</v>
      </c>
      <c r="J681" s="79">
        <v>7</v>
      </c>
      <c r="K681" s="79">
        <v>2</v>
      </c>
      <c r="L681" s="79">
        <v>0</v>
      </c>
      <c r="M681" s="79" t="s">
        <v>514</v>
      </c>
      <c r="N681" s="79" t="s">
        <v>452</v>
      </c>
      <c r="O681" s="79" t="s">
        <v>452</v>
      </c>
      <c r="P681" s="79" t="s">
        <v>452</v>
      </c>
      <c r="Q681" s="79" t="s">
        <v>452</v>
      </c>
    </row>
    <row r="682" spans="1:17" ht="26.4">
      <c r="A682" s="172">
        <f t="shared" si="11"/>
        <v>679</v>
      </c>
      <c r="B682" s="80" t="s">
        <v>1441</v>
      </c>
      <c r="C682" s="80" t="s">
        <v>511</v>
      </c>
      <c r="F682" s="80" t="s">
        <v>513</v>
      </c>
      <c r="G682" s="80" t="s">
        <v>468</v>
      </c>
      <c r="H682" s="80" t="s">
        <v>449</v>
      </c>
      <c r="I682" s="80" t="s">
        <v>450</v>
      </c>
      <c r="J682" s="79">
        <v>1</v>
      </c>
      <c r="K682" s="79">
        <v>0</v>
      </c>
      <c r="L682" s="79">
        <v>0</v>
      </c>
      <c r="M682" s="79" t="s">
        <v>514</v>
      </c>
      <c r="N682" s="79" t="s">
        <v>452</v>
      </c>
      <c r="O682" s="79" t="s">
        <v>452</v>
      </c>
      <c r="P682" s="79" t="s">
        <v>452</v>
      </c>
      <c r="Q682" s="79" t="s">
        <v>452</v>
      </c>
    </row>
    <row r="683" spans="1:17" ht="26.4">
      <c r="A683" s="172">
        <f t="shared" si="11"/>
        <v>680</v>
      </c>
      <c r="B683" s="80" t="s">
        <v>1442</v>
      </c>
      <c r="C683" s="80" t="s">
        <v>511</v>
      </c>
      <c r="F683" s="80" t="s">
        <v>513</v>
      </c>
      <c r="G683" s="80" t="s">
        <v>1443</v>
      </c>
      <c r="H683" s="80" t="s">
        <v>449</v>
      </c>
      <c r="I683" s="80" t="s">
        <v>450</v>
      </c>
      <c r="J683" s="79">
        <v>1</v>
      </c>
      <c r="K683" s="79">
        <v>0</v>
      </c>
      <c r="L683" s="79">
        <v>0</v>
      </c>
      <c r="M683" s="79" t="s">
        <v>514</v>
      </c>
      <c r="N683" s="79" t="s">
        <v>452</v>
      </c>
      <c r="O683" s="79" t="s">
        <v>452</v>
      </c>
      <c r="P683" s="79" t="s">
        <v>452</v>
      </c>
      <c r="Q683" s="79" t="s">
        <v>452</v>
      </c>
    </row>
    <row r="684" spans="1:17" ht="26.4">
      <c r="A684" s="172">
        <f t="shared" si="11"/>
        <v>681</v>
      </c>
      <c r="B684" s="80" t="s">
        <v>1444</v>
      </c>
      <c r="C684" s="80" t="s">
        <v>511</v>
      </c>
      <c r="F684" s="80" t="s">
        <v>513</v>
      </c>
      <c r="G684" s="80" t="s">
        <v>1443</v>
      </c>
      <c r="H684" s="80" t="s">
        <v>449</v>
      </c>
      <c r="I684" s="80" t="s">
        <v>450</v>
      </c>
      <c r="J684" s="79">
        <v>1</v>
      </c>
      <c r="K684" s="79">
        <v>0</v>
      </c>
      <c r="L684" s="79">
        <v>0</v>
      </c>
      <c r="M684" s="79" t="s">
        <v>514</v>
      </c>
      <c r="N684" s="79" t="s">
        <v>452</v>
      </c>
      <c r="O684" s="79" t="s">
        <v>452</v>
      </c>
      <c r="P684" s="79" t="s">
        <v>452</v>
      </c>
      <c r="Q684" s="79" t="s">
        <v>452</v>
      </c>
    </row>
    <row r="685" spans="1:17">
      <c r="A685" s="172">
        <f t="shared" si="11"/>
        <v>682</v>
      </c>
      <c r="B685" s="80" t="s">
        <v>1445</v>
      </c>
      <c r="C685" s="80" t="s">
        <v>511</v>
      </c>
      <c r="F685" s="80" t="s">
        <v>513</v>
      </c>
      <c r="G685" s="80" t="s">
        <v>456</v>
      </c>
      <c r="H685" s="80">
        <v>0</v>
      </c>
      <c r="I685" s="80" t="s">
        <v>456</v>
      </c>
      <c r="J685" s="79">
        <v>3</v>
      </c>
      <c r="K685" s="79">
        <v>0</v>
      </c>
      <c r="L685" s="79">
        <v>0</v>
      </c>
      <c r="M685" s="79" t="s">
        <v>514</v>
      </c>
      <c r="N685" s="79" t="s">
        <v>452</v>
      </c>
      <c r="O685" s="79" t="s">
        <v>452</v>
      </c>
      <c r="P685" s="79" t="s">
        <v>452</v>
      </c>
      <c r="Q685" s="79" t="s">
        <v>452</v>
      </c>
    </row>
    <row r="686" spans="1:17" ht="26.4">
      <c r="A686" s="172">
        <f t="shared" si="11"/>
        <v>683</v>
      </c>
      <c r="B686" s="80" t="s">
        <v>1446</v>
      </c>
      <c r="C686" s="80" t="s">
        <v>511</v>
      </c>
      <c r="F686" s="80" t="s">
        <v>513</v>
      </c>
      <c r="G686" s="80" t="s">
        <v>1447</v>
      </c>
      <c r="H686" s="80" t="s">
        <v>449</v>
      </c>
      <c r="I686" s="80" t="s">
        <v>450</v>
      </c>
      <c r="J686" s="79">
        <v>5</v>
      </c>
      <c r="K686" s="79">
        <v>0</v>
      </c>
      <c r="L686" s="79">
        <v>0</v>
      </c>
      <c r="M686" s="79" t="s">
        <v>514</v>
      </c>
      <c r="N686" s="79" t="s">
        <v>452</v>
      </c>
      <c r="O686" s="79" t="s">
        <v>452</v>
      </c>
      <c r="P686" s="79" t="s">
        <v>452</v>
      </c>
      <c r="Q686" s="79" t="s">
        <v>452</v>
      </c>
    </row>
    <row r="687" spans="1:17" ht="26.4">
      <c r="A687" s="172">
        <f t="shared" si="11"/>
        <v>684</v>
      </c>
      <c r="B687" s="80" t="s">
        <v>1448</v>
      </c>
      <c r="C687" s="80" t="s">
        <v>511</v>
      </c>
      <c r="F687" s="80" t="s">
        <v>513</v>
      </c>
      <c r="G687" s="80" t="s">
        <v>456</v>
      </c>
      <c r="H687" s="80">
        <v>0</v>
      </c>
      <c r="I687" s="80" t="s">
        <v>456</v>
      </c>
      <c r="J687" s="79">
        <v>3</v>
      </c>
      <c r="K687" s="79">
        <v>3</v>
      </c>
      <c r="L687" s="79">
        <v>0</v>
      </c>
      <c r="M687" s="79" t="s">
        <v>514</v>
      </c>
      <c r="N687" s="79" t="s">
        <v>452</v>
      </c>
      <c r="O687" s="79" t="s">
        <v>452</v>
      </c>
      <c r="P687" s="79" t="s">
        <v>452</v>
      </c>
      <c r="Q687" s="79" t="s">
        <v>452</v>
      </c>
    </row>
    <row r="688" spans="1:17">
      <c r="A688" s="172">
        <f t="shared" si="11"/>
        <v>685</v>
      </c>
      <c r="B688" s="80" t="s">
        <v>1449</v>
      </c>
      <c r="C688" s="80" t="s">
        <v>511</v>
      </c>
      <c r="F688" s="80" t="s">
        <v>513</v>
      </c>
      <c r="G688" s="80" t="s">
        <v>456</v>
      </c>
      <c r="H688" s="80">
        <v>0</v>
      </c>
      <c r="I688" s="80" t="s">
        <v>456</v>
      </c>
      <c r="J688" s="79">
        <v>3</v>
      </c>
      <c r="K688" s="79">
        <v>3</v>
      </c>
      <c r="L688" s="79">
        <v>0</v>
      </c>
      <c r="M688" s="79" t="s">
        <v>514</v>
      </c>
      <c r="N688" s="79" t="s">
        <v>452</v>
      </c>
      <c r="O688" s="79" t="s">
        <v>452</v>
      </c>
      <c r="P688" s="79" t="s">
        <v>452</v>
      </c>
      <c r="Q688" s="79" t="s">
        <v>452</v>
      </c>
    </row>
    <row r="689" spans="1:17" ht="26.4">
      <c r="A689" s="172">
        <f t="shared" si="11"/>
        <v>686</v>
      </c>
      <c r="B689" s="80" t="s">
        <v>1450</v>
      </c>
      <c r="C689" s="80" t="s">
        <v>511</v>
      </c>
      <c r="F689" s="80" t="s">
        <v>513</v>
      </c>
      <c r="G689" s="80" t="s">
        <v>456</v>
      </c>
      <c r="H689" s="80">
        <v>0</v>
      </c>
      <c r="I689" s="80" t="s">
        <v>456</v>
      </c>
      <c r="J689" s="79">
        <v>3</v>
      </c>
      <c r="K689" s="79">
        <v>0</v>
      </c>
      <c r="L689" s="79">
        <v>0</v>
      </c>
      <c r="M689" s="79" t="s">
        <v>514</v>
      </c>
      <c r="N689" s="79" t="s">
        <v>452</v>
      </c>
      <c r="O689" s="79" t="s">
        <v>452</v>
      </c>
      <c r="P689" s="79" t="s">
        <v>452</v>
      </c>
      <c r="Q689" s="79" t="s">
        <v>452</v>
      </c>
    </row>
    <row r="690" spans="1:17" ht="26.4">
      <c r="A690" s="172">
        <f t="shared" si="11"/>
        <v>687</v>
      </c>
      <c r="B690" s="80" t="s">
        <v>1451</v>
      </c>
      <c r="C690" s="80" t="s">
        <v>511</v>
      </c>
      <c r="F690" s="80" t="s">
        <v>513</v>
      </c>
      <c r="G690" s="80" t="s">
        <v>456</v>
      </c>
      <c r="H690" s="80">
        <v>0</v>
      </c>
      <c r="I690" s="80" t="s">
        <v>456</v>
      </c>
      <c r="J690" s="79">
        <v>3</v>
      </c>
      <c r="K690" s="79">
        <v>3</v>
      </c>
      <c r="L690" s="79">
        <v>0</v>
      </c>
      <c r="M690" s="79" t="s">
        <v>514</v>
      </c>
      <c r="N690" s="79" t="s">
        <v>452</v>
      </c>
      <c r="O690" s="79" t="s">
        <v>452</v>
      </c>
      <c r="P690" s="79" t="s">
        <v>452</v>
      </c>
      <c r="Q690" s="79" t="s">
        <v>452</v>
      </c>
    </row>
    <row r="691" spans="1:17">
      <c r="A691" s="172">
        <f t="shared" si="11"/>
        <v>688</v>
      </c>
      <c r="B691" s="80" t="s">
        <v>1452</v>
      </c>
      <c r="C691" s="80" t="s">
        <v>511</v>
      </c>
      <c r="F691" s="80" t="s">
        <v>513</v>
      </c>
      <c r="G691" s="80" t="s">
        <v>456</v>
      </c>
      <c r="H691" s="80">
        <v>0</v>
      </c>
      <c r="I691" s="80" t="s">
        <v>456</v>
      </c>
      <c r="J691" s="79">
        <v>3</v>
      </c>
      <c r="K691" s="79">
        <v>2</v>
      </c>
      <c r="L691" s="79">
        <v>0</v>
      </c>
      <c r="M691" s="79" t="s">
        <v>514</v>
      </c>
      <c r="N691" s="79" t="s">
        <v>452</v>
      </c>
      <c r="O691" s="79" t="s">
        <v>452</v>
      </c>
      <c r="P691" s="79" t="s">
        <v>452</v>
      </c>
      <c r="Q691" s="79" t="s">
        <v>452</v>
      </c>
    </row>
    <row r="692" spans="1:17">
      <c r="A692" s="172">
        <f t="shared" si="11"/>
        <v>689</v>
      </c>
      <c r="B692" s="80" t="s">
        <v>1453</v>
      </c>
      <c r="C692" s="80" t="s">
        <v>511</v>
      </c>
      <c r="F692" s="80" t="s">
        <v>513</v>
      </c>
      <c r="G692" s="80" t="s">
        <v>456</v>
      </c>
      <c r="H692" s="80">
        <v>0</v>
      </c>
      <c r="I692" s="80" t="s">
        <v>456</v>
      </c>
      <c r="J692" s="79">
        <v>3</v>
      </c>
      <c r="K692" s="79">
        <v>2</v>
      </c>
      <c r="L692" s="79">
        <v>0</v>
      </c>
      <c r="M692" s="79" t="s">
        <v>514</v>
      </c>
      <c r="N692" s="79" t="s">
        <v>452</v>
      </c>
      <c r="O692" s="79" t="s">
        <v>452</v>
      </c>
      <c r="P692" s="79" t="s">
        <v>452</v>
      </c>
      <c r="Q692" s="79" t="s">
        <v>452</v>
      </c>
    </row>
    <row r="693" spans="1:17">
      <c r="A693" s="172">
        <f t="shared" si="11"/>
        <v>690</v>
      </c>
      <c r="B693" s="80" t="s">
        <v>1454</v>
      </c>
      <c r="C693" s="80" t="s">
        <v>511</v>
      </c>
      <c r="F693" s="80" t="s">
        <v>513</v>
      </c>
      <c r="G693" s="80" t="s">
        <v>456</v>
      </c>
      <c r="H693" s="80">
        <v>0</v>
      </c>
      <c r="I693" s="80" t="s">
        <v>456</v>
      </c>
      <c r="J693" s="79">
        <v>5</v>
      </c>
      <c r="K693" s="79">
        <v>0</v>
      </c>
      <c r="L693" s="79">
        <v>0</v>
      </c>
      <c r="M693" s="79" t="s">
        <v>514</v>
      </c>
      <c r="N693" s="79" t="s">
        <v>452</v>
      </c>
      <c r="O693" s="79" t="s">
        <v>452</v>
      </c>
      <c r="P693" s="79" t="s">
        <v>452</v>
      </c>
      <c r="Q693" s="79" t="s">
        <v>452</v>
      </c>
    </row>
    <row r="694" spans="1:17">
      <c r="A694" s="172">
        <f t="shared" si="11"/>
        <v>691</v>
      </c>
      <c r="B694" s="80" t="s">
        <v>1455</v>
      </c>
      <c r="C694" s="80" t="s">
        <v>511</v>
      </c>
      <c r="F694" s="80" t="s">
        <v>513</v>
      </c>
      <c r="G694" s="80" t="s">
        <v>456</v>
      </c>
      <c r="H694" s="80">
        <v>0</v>
      </c>
      <c r="I694" s="80" t="s">
        <v>456</v>
      </c>
      <c r="J694" s="79">
        <v>5</v>
      </c>
      <c r="K694" s="79">
        <v>0</v>
      </c>
      <c r="L694" s="79">
        <v>0</v>
      </c>
      <c r="M694" s="79" t="s">
        <v>514</v>
      </c>
      <c r="N694" s="79" t="s">
        <v>452</v>
      </c>
      <c r="O694" s="79" t="s">
        <v>452</v>
      </c>
      <c r="P694" s="79" t="s">
        <v>452</v>
      </c>
      <c r="Q694" s="79" t="s">
        <v>452</v>
      </c>
    </row>
    <row r="695" spans="1:17">
      <c r="A695" s="172">
        <f t="shared" si="11"/>
        <v>692</v>
      </c>
      <c r="B695" s="80" t="s">
        <v>1456</v>
      </c>
      <c r="C695" s="80" t="s">
        <v>511</v>
      </c>
      <c r="F695" s="80" t="s">
        <v>513</v>
      </c>
      <c r="G695" s="80" t="s">
        <v>456</v>
      </c>
      <c r="H695" s="80">
        <v>0</v>
      </c>
      <c r="I695" s="80" t="s">
        <v>456</v>
      </c>
      <c r="J695" s="79">
        <v>7</v>
      </c>
      <c r="K695" s="79">
        <v>2</v>
      </c>
      <c r="L695" s="79">
        <v>0</v>
      </c>
      <c r="M695" s="79" t="s">
        <v>514</v>
      </c>
      <c r="N695" s="79" t="s">
        <v>452</v>
      </c>
      <c r="O695" s="79" t="s">
        <v>452</v>
      </c>
      <c r="P695" s="79" t="s">
        <v>452</v>
      </c>
      <c r="Q695" s="79" t="s">
        <v>452</v>
      </c>
    </row>
    <row r="696" spans="1:17">
      <c r="A696" s="172">
        <f t="shared" si="11"/>
        <v>693</v>
      </c>
      <c r="B696" s="80" t="s">
        <v>1457</v>
      </c>
      <c r="C696" s="80" t="s">
        <v>511</v>
      </c>
      <c r="F696" s="80" t="s">
        <v>513</v>
      </c>
      <c r="G696" s="80" t="s">
        <v>456</v>
      </c>
      <c r="H696" s="80">
        <v>0</v>
      </c>
      <c r="I696" s="80" t="s">
        <v>456</v>
      </c>
      <c r="J696" s="79">
        <v>7</v>
      </c>
      <c r="K696" s="79">
        <v>2</v>
      </c>
      <c r="L696" s="79">
        <v>0</v>
      </c>
      <c r="M696" s="79" t="s">
        <v>514</v>
      </c>
      <c r="N696" s="79" t="s">
        <v>452</v>
      </c>
      <c r="O696" s="79" t="s">
        <v>452</v>
      </c>
      <c r="P696" s="79" t="s">
        <v>452</v>
      </c>
      <c r="Q696" s="79" t="s">
        <v>452</v>
      </c>
    </row>
    <row r="697" spans="1:17" ht="26.4">
      <c r="A697" s="172">
        <f t="shared" si="11"/>
        <v>694</v>
      </c>
      <c r="B697" s="80" t="s">
        <v>1458</v>
      </c>
      <c r="C697" s="80" t="s">
        <v>511</v>
      </c>
      <c r="F697" s="80" t="s">
        <v>513</v>
      </c>
      <c r="G697" s="80" t="s">
        <v>1447</v>
      </c>
      <c r="H697" s="80" t="s">
        <v>449</v>
      </c>
      <c r="I697" s="80" t="s">
        <v>450</v>
      </c>
      <c r="J697" s="79">
        <v>1</v>
      </c>
      <c r="K697" s="79">
        <v>0</v>
      </c>
      <c r="L697" s="79">
        <v>0</v>
      </c>
      <c r="M697" s="79" t="s">
        <v>514</v>
      </c>
      <c r="N697" s="79" t="s">
        <v>452</v>
      </c>
      <c r="O697" s="79" t="s">
        <v>452</v>
      </c>
      <c r="P697" s="79" t="s">
        <v>452</v>
      </c>
      <c r="Q697" s="79" t="s">
        <v>452</v>
      </c>
    </row>
    <row r="698" spans="1:17" ht="26.4">
      <c r="A698" s="172">
        <f t="shared" si="11"/>
        <v>695</v>
      </c>
      <c r="B698" s="80" t="s">
        <v>1459</v>
      </c>
      <c r="C698" s="80" t="s">
        <v>511</v>
      </c>
      <c r="F698" s="80" t="s">
        <v>513</v>
      </c>
      <c r="G698" s="80" t="s">
        <v>1447</v>
      </c>
      <c r="H698" s="80" t="s">
        <v>449</v>
      </c>
      <c r="I698" s="80" t="s">
        <v>450</v>
      </c>
      <c r="J698" s="79">
        <v>1</v>
      </c>
      <c r="K698" s="79">
        <v>0</v>
      </c>
      <c r="L698" s="79">
        <v>0</v>
      </c>
      <c r="M698" s="79" t="s">
        <v>514</v>
      </c>
      <c r="N698" s="79" t="s">
        <v>452</v>
      </c>
      <c r="O698" s="79" t="s">
        <v>452</v>
      </c>
      <c r="P698" s="79" t="s">
        <v>452</v>
      </c>
      <c r="Q698" s="79" t="s">
        <v>452</v>
      </c>
    </row>
    <row r="699" spans="1:17" ht="26.4">
      <c r="A699" s="172">
        <f t="shared" si="11"/>
        <v>696</v>
      </c>
      <c r="B699" s="80" t="s">
        <v>1460</v>
      </c>
      <c r="C699" s="80" t="s">
        <v>511</v>
      </c>
      <c r="F699" s="80" t="s">
        <v>513</v>
      </c>
      <c r="G699" s="80" t="s">
        <v>1447</v>
      </c>
      <c r="H699" s="80" t="s">
        <v>449</v>
      </c>
      <c r="I699" s="80" t="s">
        <v>450</v>
      </c>
      <c r="J699" s="79">
        <v>1</v>
      </c>
      <c r="K699" s="79">
        <v>0</v>
      </c>
      <c r="L699" s="79">
        <v>0</v>
      </c>
      <c r="M699" s="79" t="s">
        <v>514</v>
      </c>
      <c r="N699" s="79" t="s">
        <v>452</v>
      </c>
      <c r="O699" s="79" t="s">
        <v>452</v>
      </c>
      <c r="P699" s="79" t="s">
        <v>452</v>
      </c>
      <c r="Q699" s="79" t="s">
        <v>452</v>
      </c>
    </row>
    <row r="700" spans="1:17">
      <c r="A700" s="172">
        <f t="shared" si="11"/>
        <v>697</v>
      </c>
      <c r="B700" s="80" t="s">
        <v>1461</v>
      </c>
      <c r="C700" s="80" t="s">
        <v>511</v>
      </c>
      <c r="F700" s="80" t="s">
        <v>513</v>
      </c>
      <c r="G700" s="80" t="s">
        <v>456</v>
      </c>
      <c r="H700" s="80">
        <v>0</v>
      </c>
      <c r="I700" s="80" t="s">
        <v>456</v>
      </c>
      <c r="J700" s="79">
        <v>3</v>
      </c>
      <c r="K700" s="79">
        <v>0</v>
      </c>
      <c r="L700" s="79">
        <v>0</v>
      </c>
      <c r="M700" s="79" t="s">
        <v>514</v>
      </c>
      <c r="N700" s="79" t="s">
        <v>452</v>
      </c>
      <c r="O700" s="79" t="s">
        <v>452</v>
      </c>
      <c r="P700" s="79" t="s">
        <v>452</v>
      </c>
      <c r="Q700" s="79" t="s">
        <v>452</v>
      </c>
    </row>
    <row r="701" spans="1:17" ht="26.4">
      <c r="A701" s="172">
        <f t="shared" si="11"/>
        <v>698</v>
      </c>
      <c r="B701" s="80" t="s">
        <v>1462</v>
      </c>
      <c r="C701" s="80" t="s">
        <v>511</v>
      </c>
      <c r="F701" s="80" t="s">
        <v>513</v>
      </c>
      <c r="G701" s="80" t="s">
        <v>1447</v>
      </c>
      <c r="H701" s="80" t="s">
        <v>449</v>
      </c>
      <c r="I701" s="80" t="s">
        <v>450</v>
      </c>
      <c r="J701" s="79">
        <v>5</v>
      </c>
      <c r="K701" s="79">
        <v>0</v>
      </c>
      <c r="L701" s="79">
        <v>0</v>
      </c>
      <c r="M701" s="79" t="s">
        <v>514</v>
      </c>
      <c r="N701" s="79" t="s">
        <v>452</v>
      </c>
      <c r="O701" s="79" t="s">
        <v>452</v>
      </c>
      <c r="P701" s="79" t="s">
        <v>452</v>
      </c>
      <c r="Q701" s="79" t="s">
        <v>452</v>
      </c>
    </row>
    <row r="702" spans="1:17" ht="26.4">
      <c r="A702" s="172">
        <f t="shared" si="11"/>
        <v>699</v>
      </c>
      <c r="B702" s="80" t="s">
        <v>1463</v>
      </c>
      <c r="C702" s="80" t="s">
        <v>511</v>
      </c>
      <c r="F702" s="80" t="s">
        <v>513</v>
      </c>
      <c r="G702" s="80" t="s">
        <v>456</v>
      </c>
      <c r="H702" s="80">
        <v>0</v>
      </c>
      <c r="I702" s="80" t="s">
        <v>456</v>
      </c>
      <c r="J702" s="79">
        <v>3</v>
      </c>
      <c r="K702" s="79">
        <v>3</v>
      </c>
      <c r="L702" s="79">
        <v>0</v>
      </c>
      <c r="M702" s="79" t="s">
        <v>514</v>
      </c>
      <c r="N702" s="79" t="s">
        <v>452</v>
      </c>
      <c r="O702" s="79" t="s">
        <v>452</v>
      </c>
      <c r="P702" s="79" t="s">
        <v>452</v>
      </c>
      <c r="Q702" s="79" t="s">
        <v>452</v>
      </c>
    </row>
    <row r="703" spans="1:17">
      <c r="A703" s="172">
        <f t="shared" si="11"/>
        <v>700</v>
      </c>
      <c r="B703" s="80" t="s">
        <v>1464</v>
      </c>
      <c r="C703" s="80" t="s">
        <v>511</v>
      </c>
      <c r="F703" s="80" t="s">
        <v>513</v>
      </c>
      <c r="G703" s="80" t="s">
        <v>456</v>
      </c>
      <c r="H703" s="80">
        <v>0</v>
      </c>
      <c r="I703" s="80" t="s">
        <v>456</v>
      </c>
      <c r="J703" s="79">
        <v>3</v>
      </c>
      <c r="K703" s="79">
        <v>3</v>
      </c>
      <c r="L703" s="79">
        <v>0</v>
      </c>
      <c r="M703" s="79" t="s">
        <v>514</v>
      </c>
      <c r="N703" s="79" t="s">
        <v>452</v>
      </c>
      <c r="O703" s="79" t="s">
        <v>452</v>
      </c>
      <c r="P703" s="79" t="s">
        <v>452</v>
      </c>
      <c r="Q703" s="79" t="s">
        <v>452</v>
      </c>
    </row>
    <row r="704" spans="1:17" ht="26.4">
      <c r="A704" s="172">
        <f t="shared" si="11"/>
        <v>701</v>
      </c>
      <c r="B704" s="80" t="s">
        <v>1465</v>
      </c>
      <c r="C704" s="80" t="s">
        <v>511</v>
      </c>
      <c r="F704" s="80" t="s">
        <v>513</v>
      </c>
      <c r="G704" s="80" t="s">
        <v>456</v>
      </c>
      <c r="H704" s="80">
        <v>0</v>
      </c>
      <c r="I704" s="80" t="s">
        <v>456</v>
      </c>
      <c r="J704" s="79">
        <v>3</v>
      </c>
      <c r="K704" s="79">
        <v>0</v>
      </c>
      <c r="L704" s="79">
        <v>0</v>
      </c>
      <c r="M704" s="79" t="s">
        <v>514</v>
      </c>
      <c r="N704" s="79" t="s">
        <v>452</v>
      </c>
      <c r="O704" s="79" t="s">
        <v>452</v>
      </c>
      <c r="P704" s="79" t="s">
        <v>452</v>
      </c>
      <c r="Q704" s="79" t="s">
        <v>452</v>
      </c>
    </row>
    <row r="705" spans="1:17" ht="26.4">
      <c r="A705" s="172">
        <f t="shared" si="11"/>
        <v>702</v>
      </c>
      <c r="B705" s="80" t="s">
        <v>1466</v>
      </c>
      <c r="C705" s="80" t="s">
        <v>511</v>
      </c>
      <c r="F705" s="80" t="s">
        <v>513</v>
      </c>
      <c r="G705" s="80" t="s">
        <v>456</v>
      </c>
      <c r="H705" s="80">
        <v>0</v>
      </c>
      <c r="I705" s="80" t="s">
        <v>456</v>
      </c>
      <c r="J705" s="79">
        <v>3</v>
      </c>
      <c r="K705" s="79">
        <v>3</v>
      </c>
      <c r="L705" s="79">
        <v>0</v>
      </c>
      <c r="M705" s="79" t="s">
        <v>514</v>
      </c>
      <c r="N705" s="79" t="s">
        <v>452</v>
      </c>
      <c r="O705" s="79" t="s">
        <v>452</v>
      </c>
      <c r="P705" s="79" t="s">
        <v>452</v>
      </c>
      <c r="Q705" s="79" t="s">
        <v>452</v>
      </c>
    </row>
    <row r="706" spans="1:17">
      <c r="A706" s="172">
        <f t="shared" si="11"/>
        <v>703</v>
      </c>
      <c r="B706" s="80" t="s">
        <v>1467</v>
      </c>
      <c r="C706" s="80" t="s">
        <v>511</v>
      </c>
      <c r="F706" s="80" t="s">
        <v>513</v>
      </c>
      <c r="G706" s="80" t="s">
        <v>456</v>
      </c>
      <c r="H706" s="80">
        <v>0</v>
      </c>
      <c r="I706" s="80" t="s">
        <v>456</v>
      </c>
      <c r="J706" s="79">
        <v>3</v>
      </c>
      <c r="K706" s="79">
        <v>2</v>
      </c>
      <c r="L706" s="79">
        <v>0</v>
      </c>
      <c r="M706" s="79" t="s">
        <v>514</v>
      </c>
      <c r="N706" s="79" t="s">
        <v>452</v>
      </c>
      <c r="O706" s="79" t="s">
        <v>452</v>
      </c>
      <c r="P706" s="79" t="s">
        <v>452</v>
      </c>
      <c r="Q706" s="79" t="s">
        <v>452</v>
      </c>
    </row>
    <row r="707" spans="1:17">
      <c r="A707" s="172">
        <f t="shared" si="11"/>
        <v>704</v>
      </c>
      <c r="B707" s="80" t="s">
        <v>1468</v>
      </c>
      <c r="C707" s="80" t="s">
        <v>511</v>
      </c>
      <c r="F707" s="80" t="s">
        <v>513</v>
      </c>
      <c r="G707" s="80" t="s">
        <v>456</v>
      </c>
      <c r="H707" s="80">
        <v>0</v>
      </c>
      <c r="I707" s="80" t="s">
        <v>456</v>
      </c>
      <c r="J707" s="79">
        <v>3</v>
      </c>
      <c r="K707" s="79">
        <v>2</v>
      </c>
      <c r="L707" s="79">
        <v>0</v>
      </c>
      <c r="M707" s="79" t="s">
        <v>514</v>
      </c>
      <c r="N707" s="79" t="s">
        <v>452</v>
      </c>
      <c r="O707" s="79" t="s">
        <v>452</v>
      </c>
      <c r="P707" s="79" t="s">
        <v>452</v>
      </c>
      <c r="Q707" s="79" t="s">
        <v>452</v>
      </c>
    </row>
    <row r="708" spans="1:17">
      <c r="A708" s="172">
        <f t="shared" si="11"/>
        <v>705</v>
      </c>
      <c r="B708" s="80" t="s">
        <v>1469</v>
      </c>
      <c r="C708" s="80" t="s">
        <v>511</v>
      </c>
      <c r="F708" s="80" t="s">
        <v>513</v>
      </c>
      <c r="G708" s="80" t="s">
        <v>456</v>
      </c>
      <c r="H708" s="80">
        <v>0</v>
      </c>
      <c r="I708" s="80" t="s">
        <v>456</v>
      </c>
      <c r="J708" s="79">
        <v>5</v>
      </c>
      <c r="K708" s="79">
        <v>0</v>
      </c>
      <c r="L708" s="79">
        <v>0</v>
      </c>
      <c r="M708" s="79" t="s">
        <v>514</v>
      </c>
      <c r="N708" s="79" t="s">
        <v>452</v>
      </c>
      <c r="O708" s="79" t="s">
        <v>452</v>
      </c>
      <c r="P708" s="79" t="s">
        <v>452</v>
      </c>
      <c r="Q708" s="79" t="s">
        <v>452</v>
      </c>
    </row>
    <row r="709" spans="1:17">
      <c r="A709" s="172">
        <f t="shared" si="11"/>
        <v>706</v>
      </c>
      <c r="B709" s="80" t="s">
        <v>1470</v>
      </c>
      <c r="C709" s="80" t="s">
        <v>511</v>
      </c>
      <c r="F709" s="80" t="s">
        <v>513</v>
      </c>
      <c r="G709" s="80" t="s">
        <v>456</v>
      </c>
      <c r="H709" s="80">
        <v>0</v>
      </c>
      <c r="I709" s="80" t="s">
        <v>456</v>
      </c>
      <c r="J709" s="79">
        <v>5</v>
      </c>
      <c r="K709" s="79">
        <v>0</v>
      </c>
      <c r="L709" s="79">
        <v>0</v>
      </c>
      <c r="M709" s="79" t="s">
        <v>514</v>
      </c>
      <c r="N709" s="79" t="s">
        <v>452</v>
      </c>
      <c r="O709" s="79" t="s">
        <v>452</v>
      </c>
      <c r="P709" s="79" t="s">
        <v>452</v>
      </c>
      <c r="Q709" s="79" t="s">
        <v>452</v>
      </c>
    </row>
    <row r="710" spans="1:17">
      <c r="A710" s="172">
        <f t="shared" si="11"/>
        <v>707</v>
      </c>
      <c r="B710" s="80" t="s">
        <v>1471</v>
      </c>
      <c r="C710" s="80" t="s">
        <v>511</v>
      </c>
      <c r="F710" s="80" t="s">
        <v>513</v>
      </c>
      <c r="G710" s="80" t="s">
        <v>456</v>
      </c>
      <c r="H710" s="80">
        <v>0</v>
      </c>
      <c r="I710" s="80" t="s">
        <v>456</v>
      </c>
      <c r="J710" s="79">
        <v>7</v>
      </c>
      <c r="K710" s="79">
        <v>2</v>
      </c>
      <c r="L710" s="79">
        <v>0</v>
      </c>
      <c r="M710" s="79" t="s">
        <v>514</v>
      </c>
      <c r="N710" s="79" t="s">
        <v>452</v>
      </c>
      <c r="O710" s="79" t="s">
        <v>452</v>
      </c>
      <c r="P710" s="79" t="s">
        <v>452</v>
      </c>
      <c r="Q710" s="79" t="s">
        <v>452</v>
      </c>
    </row>
    <row r="711" spans="1:17">
      <c r="A711" s="172">
        <f t="shared" si="11"/>
        <v>708</v>
      </c>
      <c r="B711" s="80" t="s">
        <v>1472</v>
      </c>
      <c r="C711" s="80" t="s">
        <v>511</v>
      </c>
      <c r="F711" s="80" t="s">
        <v>513</v>
      </c>
      <c r="G711" s="80" t="s">
        <v>456</v>
      </c>
      <c r="H711" s="80">
        <v>0</v>
      </c>
      <c r="I711" s="80" t="s">
        <v>456</v>
      </c>
      <c r="J711" s="79">
        <v>7</v>
      </c>
      <c r="K711" s="79">
        <v>2</v>
      </c>
      <c r="L711" s="79">
        <v>0</v>
      </c>
      <c r="M711" s="79" t="s">
        <v>514</v>
      </c>
      <c r="N711" s="79" t="s">
        <v>452</v>
      </c>
      <c r="O711" s="79" t="s">
        <v>452</v>
      </c>
      <c r="P711" s="79" t="s">
        <v>452</v>
      </c>
      <c r="Q711" s="79" t="s">
        <v>452</v>
      </c>
    </row>
    <row r="712" spans="1:17" ht="26.4">
      <c r="A712" s="172">
        <f t="shared" si="11"/>
        <v>709</v>
      </c>
      <c r="B712" s="80" t="s">
        <v>1473</v>
      </c>
      <c r="C712" s="80" t="s">
        <v>511</v>
      </c>
      <c r="F712" s="80" t="s">
        <v>513</v>
      </c>
      <c r="G712" s="80" t="s">
        <v>1447</v>
      </c>
      <c r="H712" s="80" t="s">
        <v>449</v>
      </c>
      <c r="I712" s="80" t="s">
        <v>450</v>
      </c>
      <c r="J712" s="79">
        <v>1</v>
      </c>
      <c r="K712" s="79">
        <v>0</v>
      </c>
      <c r="L712" s="79">
        <v>0</v>
      </c>
      <c r="M712" s="79" t="s">
        <v>514</v>
      </c>
      <c r="N712" s="79" t="s">
        <v>452</v>
      </c>
      <c r="O712" s="79" t="s">
        <v>452</v>
      </c>
      <c r="P712" s="79" t="s">
        <v>452</v>
      </c>
      <c r="Q712" s="79" t="s">
        <v>452</v>
      </c>
    </row>
    <row r="713" spans="1:17" ht="26.4">
      <c r="A713" s="172">
        <f t="shared" si="11"/>
        <v>710</v>
      </c>
      <c r="B713" s="80" t="s">
        <v>1474</v>
      </c>
      <c r="C713" s="80" t="s">
        <v>511</v>
      </c>
      <c r="F713" s="80" t="s">
        <v>513</v>
      </c>
      <c r="G713" s="80" t="s">
        <v>1447</v>
      </c>
      <c r="H713" s="80" t="s">
        <v>449</v>
      </c>
      <c r="I713" s="80" t="s">
        <v>450</v>
      </c>
      <c r="J713" s="79">
        <v>1</v>
      </c>
      <c r="K713" s="79">
        <v>0</v>
      </c>
      <c r="L713" s="79">
        <v>0</v>
      </c>
      <c r="M713" s="79" t="s">
        <v>514</v>
      </c>
      <c r="N713" s="79" t="s">
        <v>452</v>
      </c>
      <c r="O713" s="79" t="s">
        <v>452</v>
      </c>
      <c r="P713" s="79" t="s">
        <v>452</v>
      </c>
      <c r="Q713" s="79" t="s">
        <v>452</v>
      </c>
    </row>
    <row r="714" spans="1:17" ht="26.4">
      <c r="A714" s="172">
        <f t="shared" si="11"/>
        <v>711</v>
      </c>
      <c r="B714" s="80" t="s">
        <v>1475</v>
      </c>
      <c r="C714" s="80" t="s">
        <v>511</v>
      </c>
      <c r="F714" s="80" t="s">
        <v>513</v>
      </c>
      <c r="G714" s="80" t="s">
        <v>1447</v>
      </c>
      <c r="H714" s="80" t="s">
        <v>449</v>
      </c>
      <c r="I714" s="80" t="s">
        <v>450</v>
      </c>
      <c r="J714" s="79">
        <v>1</v>
      </c>
      <c r="K714" s="79">
        <v>0</v>
      </c>
      <c r="L714" s="79">
        <v>0</v>
      </c>
      <c r="M714" s="79" t="s">
        <v>514</v>
      </c>
      <c r="N714" s="79" t="s">
        <v>452</v>
      </c>
      <c r="O714" s="79" t="s">
        <v>452</v>
      </c>
      <c r="P714" s="79" t="s">
        <v>452</v>
      </c>
      <c r="Q714" s="79" t="s">
        <v>452</v>
      </c>
    </row>
    <row r="715" spans="1:17">
      <c r="A715" s="172">
        <f t="shared" si="11"/>
        <v>712</v>
      </c>
      <c r="B715" s="80" t="s">
        <v>1476</v>
      </c>
      <c r="C715" s="80" t="s">
        <v>511</v>
      </c>
      <c r="F715" s="80" t="s">
        <v>513</v>
      </c>
      <c r="G715" s="80" t="s">
        <v>456</v>
      </c>
      <c r="H715" s="80">
        <v>0</v>
      </c>
      <c r="I715" s="80" t="s">
        <v>456</v>
      </c>
      <c r="J715" s="79">
        <v>3</v>
      </c>
      <c r="K715" s="79">
        <v>0</v>
      </c>
      <c r="L715" s="79">
        <v>0</v>
      </c>
      <c r="M715" s="79" t="s">
        <v>514</v>
      </c>
      <c r="N715" s="79" t="s">
        <v>452</v>
      </c>
      <c r="O715" s="79" t="s">
        <v>452</v>
      </c>
      <c r="P715" s="79" t="s">
        <v>452</v>
      </c>
      <c r="Q715" s="79" t="s">
        <v>452</v>
      </c>
    </row>
    <row r="716" spans="1:17" ht="26.4">
      <c r="A716" s="172">
        <f t="shared" si="11"/>
        <v>713</v>
      </c>
      <c r="B716" s="80" t="s">
        <v>1477</v>
      </c>
      <c r="C716" s="80" t="s">
        <v>511</v>
      </c>
      <c r="F716" s="80" t="s">
        <v>513</v>
      </c>
      <c r="G716" s="80" t="s">
        <v>1447</v>
      </c>
      <c r="H716" s="80" t="s">
        <v>449</v>
      </c>
      <c r="I716" s="80" t="s">
        <v>450</v>
      </c>
      <c r="J716" s="79">
        <v>5</v>
      </c>
      <c r="K716" s="79">
        <v>0</v>
      </c>
      <c r="L716" s="79">
        <v>0</v>
      </c>
      <c r="M716" s="79" t="s">
        <v>514</v>
      </c>
      <c r="N716" s="79" t="s">
        <v>452</v>
      </c>
      <c r="O716" s="79" t="s">
        <v>452</v>
      </c>
      <c r="P716" s="79" t="s">
        <v>452</v>
      </c>
      <c r="Q716" s="79" t="s">
        <v>452</v>
      </c>
    </row>
    <row r="717" spans="1:17" ht="26.4">
      <c r="A717" s="172">
        <f t="shared" si="11"/>
        <v>714</v>
      </c>
      <c r="B717" s="80" t="s">
        <v>1478</v>
      </c>
      <c r="C717" s="80" t="s">
        <v>511</v>
      </c>
      <c r="F717" s="80" t="s">
        <v>513</v>
      </c>
      <c r="G717" s="80" t="s">
        <v>456</v>
      </c>
      <c r="H717" s="80">
        <v>0</v>
      </c>
      <c r="I717" s="80" t="s">
        <v>456</v>
      </c>
      <c r="J717" s="79">
        <v>3</v>
      </c>
      <c r="K717" s="79">
        <v>3</v>
      </c>
      <c r="L717" s="79">
        <v>0</v>
      </c>
      <c r="M717" s="79" t="s">
        <v>514</v>
      </c>
      <c r="N717" s="79" t="s">
        <v>452</v>
      </c>
      <c r="O717" s="79" t="s">
        <v>452</v>
      </c>
      <c r="P717" s="79" t="s">
        <v>452</v>
      </c>
      <c r="Q717" s="79" t="s">
        <v>452</v>
      </c>
    </row>
    <row r="718" spans="1:17">
      <c r="A718" s="172">
        <f t="shared" si="11"/>
        <v>715</v>
      </c>
      <c r="B718" s="80" t="s">
        <v>1479</v>
      </c>
      <c r="C718" s="80" t="s">
        <v>511</v>
      </c>
      <c r="F718" s="80" t="s">
        <v>513</v>
      </c>
      <c r="G718" s="80" t="s">
        <v>456</v>
      </c>
      <c r="H718" s="80">
        <v>0</v>
      </c>
      <c r="I718" s="80" t="s">
        <v>456</v>
      </c>
      <c r="J718" s="79">
        <v>3</v>
      </c>
      <c r="K718" s="79">
        <v>3</v>
      </c>
      <c r="L718" s="79">
        <v>0</v>
      </c>
      <c r="M718" s="79" t="s">
        <v>514</v>
      </c>
      <c r="N718" s="79" t="s">
        <v>452</v>
      </c>
      <c r="O718" s="79" t="s">
        <v>452</v>
      </c>
      <c r="P718" s="79" t="s">
        <v>452</v>
      </c>
      <c r="Q718" s="79" t="s">
        <v>452</v>
      </c>
    </row>
    <row r="719" spans="1:17" ht="26.4">
      <c r="A719" s="172">
        <f t="shared" si="11"/>
        <v>716</v>
      </c>
      <c r="B719" s="80" t="s">
        <v>1480</v>
      </c>
      <c r="C719" s="80" t="s">
        <v>511</v>
      </c>
      <c r="F719" s="80" t="s">
        <v>513</v>
      </c>
      <c r="G719" s="80" t="s">
        <v>456</v>
      </c>
      <c r="H719" s="80">
        <v>0</v>
      </c>
      <c r="I719" s="80" t="s">
        <v>456</v>
      </c>
      <c r="J719" s="79">
        <v>3</v>
      </c>
      <c r="K719" s="79">
        <v>0</v>
      </c>
      <c r="L719" s="79">
        <v>0</v>
      </c>
      <c r="M719" s="79" t="s">
        <v>514</v>
      </c>
      <c r="N719" s="79" t="s">
        <v>452</v>
      </c>
      <c r="O719" s="79" t="s">
        <v>452</v>
      </c>
      <c r="P719" s="79" t="s">
        <v>452</v>
      </c>
      <c r="Q719" s="79" t="s">
        <v>452</v>
      </c>
    </row>
    <row r="720" spans="1:17" ht="26.4">
      <c r="A720" s="172">
        <f t="shared" si="11"/>
        <v>717</v>
      </c>
      <c r="B720" s="80" t="s">
        <v>1481</v>
      </c>
      <c r="C720" s="80" t="s">
        <v>511</v>
      </c>
      <c r="F720" s="80" t="s">
        <v>513</v>
      </c>
      <c r="G720" s="80" t="s">
        <v>456</v>
      </c>
      <c r="H720" s="80">
        <v>0</v>
      </c>
      <c r="I720" s="80" t="s">
        <v>456</v>
      </c>
      <c r="J720" s="79">
        <v>3</v>
      </c>
      <c r="K720" s="79">
        <v>3</v>
      </c>
      <c r="L720" s="79">
        <v>0</v>
      </c>
      <c r="M720" s="79" t="s">
        <v>514</v>
      </c>
      <c r="N720" s="79" t="s">
        <v>452</v>
      </c>
      <c r="O720" s="79" t="s">
        <v>452</v>
      </c>
      <c r="P720" s="79" t="s">
        <v>452</v>
      </c>
      <c r="Q720" s="79" t="s">
        <v>452</v>
      </c>
    </row>
    <row r="721" spans="1:17">
      <c r="A721" s="172">
        <f t="shared" si="11"/>
        <v>718</v>
      </c>
      <c r="B721" s="80" t="s">
        <v>1482</v>
      </c>
      <c r="C721" s="80" t="s">
        <v>511</v>
      </c>
      <c r="F721" s="80" t="s">
        <v>513</v>
      </c>
      <c r="G721" s="80" t="s">
        <v>456</v>
      </c>
      <c r="H721" s="80">
        <v>0</v>
      </c>
      <c r="I721" s="80" t="s">
        <v>456</v>
      </c>
      <c r="J721" s="79">
        <v>3</v>
      </c>
      <c r="K721" s="79">
        <v>2</v>
      </c>
      <c r="L721" s="79">
        <v>0</v>
      </c>
      <c r="M721" s="79" t="s">
        <v>514</v>
      </c>
      <c r="N721" s="79" t="s">
        <v>452</v>
      </c>
      <c r="O721" s="79" t="s">
        <v>452</v>
      </c>
      <c r="P721" s="79" t="s">
        <v>452</v>
      </c>
      <c r="Q721" s="79" t="s">
        <v>452</v>
      </c>
    </row>
    <row r="722" spans="1:17">
      <c r="A722" s="172">
        <f t="shared" si="11"/>
        <v>719</v>
      </c>
      <c r="B722" s="80" t="s">
        <v>1483</v>
      </c>
      <c r="C722" s="80" t="s">
        <v>511</v>
      </c>
      <c r="F722" s="80" t="s">
        <v>513</v>
      </c>
      <c r="G722" s="80" t="s">
        <v>456</v>
      </c>
      <c r="H722" s="80">
        <v>0</v>
      </c>
      <c r="I722" s="80" t="s">
        <v>456</v>
      </c>
      <c r="J722" s="79">
        <v>3</v>
      </c>
      <c r="K722" s="79">
        <v>2</v>
      </c>
      <c r="L722" s="79">
        <v>0</v>
      </c>
      <c r="M722" s="79" t="s">
        <v>514</v>
      </c>
      <c r="N722" s="79" t="s">
        <v>452</v>
      </c>
      <c r="O722" s="79" t="s">
        <v>452</v>
      </c>
      <c r="P722" s="79" t="s">
        <v>452</v>
      </c>
      <c r="Q722" s="79" t="s">
        <v>452</v>
      </c>
    </row>
    <row r="723" spans="1:17">
      <c r="A723" s="172">
        <f t="shared" si="11"/>
        <v>720</v>
      </c>
      <c r="B723" s="80" t="s">
        <v>1484</v>
      </c>
      <c r="C723" s="80" t="s">
        <v>1485</v>
      </c>
      <c r="D723" s="80" t="s">
        <v>1484</v>
      </c>
      <c r="E723" s="116" t="s">
        <v>1486</v>
      </c>
      <c r="F723" s="80" t="s">
        <v>503</v>
      </c>
      <c r="G723" s="80" t="s">
        <v>468</v>
      </c>
      <c r="H723" s="80" t="s">
        <v>118</v>
      </c>
      <c r="I723" s="80" t="s">
        <v>450</v>
      </c>
      <c r="J723" s="79">
        <v>1</v>
      </c>
      <c r="K723" s="79">
        <v>0</v>
      </c>
      <c r="L723" s="79">
        <v>0</v>
      </c>
      <c r="M723" s="79" t="s">
        <v>451</v>
      </c>
      <c r="N723" s="79" t="s">
        <v>452</v>
      </c>
      <c r="O723" s="79" t="s">
        <v>453</v>
      </c>
      <c r="P723" s="79" t="s">
        <v>453</v>
      </c>
      <c r="Q723" s="79" t="s">
        <v>453</v>
      </c>
    </row>
    <row r="724" spans="1:17" ht="26.4">
      <c r="A724" s="172">
        <f t="shared" si="11"/>
        <v>721</v>
      </c>
      <c r="B724" s="80" t="s">
        <v>1487</v>
      </c>
      <c r="C724" s="80" t="s">
        <v>511</v>
      </c>
      <c r="F724" s="80" t="s">
        <v>513</v>
      </c>
      <c r="G724" s="80" t="s">
        <v>456</v>
      </c>
      <c r="H724" s="80">
        <v>0</v>
      </c>
      <c r="I724" s="80" t="s">
        <v>456</v>
      </c>
      <c r="J724" s="79">
        <v>12</v>
      </c>
      <c r="K724" s="79">
        <v>2</v>
      </c>
      <c r="L724" s="79">
        <v>0</v>
      </c>
      <c r="M724" s="79" t="s">
        <v>514</v>
      </c>
      <c r="N724" s="79" t="s">
        <v>452</v>
      </c>
      <c r="O724" s="79" t="s">
        <v>452</v>
      </c>
      <c r="P724" s="79" t="s">
        <v>452</v>
      </c>
      <c r="Q724" s="79" t="s">
        <v>452</v>
      </c>
    </row>
    <row r="725" spans="1:17" ht="66">
      <c r="A725" s="172">
        <f t="shared" si="11"/>
        <v>722</v>
      </c>
      <c r="B725" s="80" t="s">
        <v>1488</v>
      </c>
      <c r="C725" s="80" t="s">
        <v>511</v>
      </c>
      <c r="F725" s="80" t="s">
        <v>513</v>
      </c>
      <c r="G725" s="80" t="s">
        <v>1489</v>
      </c>
      <c r="H725" s="80" t="s">
        <v>449</v>
      </c>
      <c r="I725" s="80" t="s">
        <v>450</v>
      </c>
      <c r="J725" s="79">
        <v>1</v>
      </c>
      <c r="K725" s="79">
        <v>0</v>
      </c>
      <c r="L725" s="79">
        <v>0</v>
      </c>
      <c r="M725" s="79" t="s">
        <v>514</v>
      </c>
      <c r="N725" s="79" t="s">
        <v>452</v>
      </c>
      <c r="O725" s="79" t="s">
        <v>452</v>
      </c>
      <c r="P725" s="79" t="s">
        <v>452</v>
      </c>
      <c r="Q725" s="79" t="s">
        <v>452</v>
      </c>
    </row>
    <row r="726" spans="1:17" ht="66">
      <c r="A726" s="172">
        <f t="shared" ref="A726:A789" si="12">A725+1</f>
        <v>723</v>
      </c>
      <c r="B726" s="80" t="s">
        <v>1490</v>
      </c>
      <c r="C726" s="80" t="s">
        <v>1491</v>
      </c>
      <c r="D726" s="80" t="s">
        <v>1490</v>
      </c>
      <c r="E726" s="116" t="s">
        <v>1492</v>
      </c>
      <c r="F726" s="80" t="s">
        <v>976</v>
      </c>
      <c r="G726" s="80" t="s">
        <v>1493</v>
      </c>
      <c r="H726" s="80" t="s">
        <v>449</v>
      </c>
      <c r="I726" s="80" t="s">
        <v>450</v>
      </c>
      <c r="J726" s="79">
        <v>1</v>
      </c>
      <c r="K726" s="79">
        <v>0</v>
      </c>
      <c r="L726" s="79">
        <v>0</v>
      </c>
      <c r="M726" s="79" t="s">
        <v>451</v>
      </c>
      <c r="N726" s="79" t="s">
        <v>977</v>
      </c>
      <c r="O726" s="79" t="s">
        <v>453</v>
      </c>
      <c r="P726" s="79" t="s">
        <v>453</v>
      </c>
      <c r="Q726" s="79" t="s">
        <v>453</v>
      </c>
    </row>
    <row r="727" spans="1:17" ht="26.4">
      <c r="A727" s="172">
        <f t="shared" si="12"/>
        <v>724</v>
      </c>
      <c r="B727" s="80" t="s">
        <v>1494</v>
      </c>
      <c r="C727" s="80" t="s">
        <v>511</v>
      </c>
      <c r="F727" s="80" t="s">
        <v>513</v>
      </c>
      <c r="G727" s="80" t="s">
        <v>456</v>
      </c>
      <c r="H727" s="80">
        <v>0</v>
      </c>
      <c r="I727" s="80" t="s">
        <v>456</v>
      </c>
      <c r="J727" s="79">
        <v>12</v>
      </c>
      <c r="K727" s="79">
        <v>2</v>
      </c>
      <c r="L727" s="79">
        <v>0</v>
      </c>
      <c r="M727" s="79" t="s">
        <v>514</v>
      </c>
      <c r="N727" s="79" t="s">
        <v>452</v>
      </c>
      <c r="O727" s="79" t="s">
        <v>452</v>
      </c>
      <c r="P727" s="79" t="s">
        <v>452</v>
      </c>
      <c r="Q727" s="79" t="s">
        <v>452</v>
      </c>
    </row>
    <row r="728" spans="1:17" ht="26.4">
      <c r="A728" s="172">
        <f t="shared" si="12"/>
        <v>725</v>
      </c>
      <c r="B728" s="80" t="s">
        <v>1495</v>
      </c>
      <c r="C728" s="80" t="s">
        <v>511</v>
      </c>
      <c r="F728" s="80" t="s">
        <v>513</v>
      </c>
      <c r="G728" s="80" t="s">
        <v>456</v>
      </c>
      <c r="H728" s="80">
        <v>0</v>
      </c>
      <c r="I728" s="80" t="s">
        <v>456</v>
      </c>
      <c r="J728" s="79">
        <v>12</v>
      </c>
      <c r="K728" s="79">
        <v>2</v>
      </c>
      <c r="L728" s="79">
        <v>0</v>
      </c>
      <c r="M728" s="79" t="s">
        <v>514</v>
      </c>
      <c r="N728" s="79" t="s">
        <v>452</v>
      </c>
      <c r="O728" s="79" t="s">
        <v>452</v>
      </c>
      <c r="P728" s="79" t="s">
        <v>452</v>
      </c>
      <c r="Q728" s="79" t="s">
        <v>452</v>
      </c>
    </row>
    <row r="729" spans="1:17" ht="26.4">
      <c r="A729" s="172">
        <f t="shared" si="12"/>
        <v>726</v>
      </c>
      <c r="B729" s="80" t="s">
        <v>1496</v>
      </c>
      <c r="C729" s="80" t="s">
        <v>511</v>
      </c>
      <c r="F729" s="80" t="s">
        <v>513</v>
      </c>
      <c r="G729" s="80" t="s">
        <v>456</v>
      </c>
      <c r="H729" s="80">
        <v>0</v>
      </c>
      <c r="I729" s="80" t="s">
        <v>456</v>
      </c>
      <c r="J729" s="79">
        <v>12</v>
      </c>
      <c r="K729" s="79">
        <v>2</v>
      </c>
      <c r="L729" s="79">
        <v>0</v>
      </c>
      <c r="M729" s="79" t="s">
        <v>514</v>
      </c>
      <c r="N729" s="79" t="s">
        <v>452</v>
      </c>
      <c r="O729" s="79" t="s">
        <v>452</v>
      </c>
      <c r="P729" s="79" t="s">
        <v>452</v>
      </c>
      <c r="Q729" s="79" t="s">
        <v>452</v>
      </c>
    </row>
    <row r="730" spans="1:17" ht="26.4">
      <c r="A730" s="172">
        <f t="shared" si="12"/>
        <v>727</v>
      </c>
      <c r="B730" s="80" t="s">
        <v>1497</v>
      </c>
      <c r="C730" s="80" t="s">
        <v>1159</v>
      </c>
      <c r="D730" s="80" t="s">
        <v>1498</v>
      </c>
      <c r="E730" s="116" t="s">
        <v>1499</v>
      </c>
      <c r="F730" s="80" t="s">
        <v>976</v>
      </c>
      <c r="G730" s="80" t="s">
        <v>456</v>
      </c>
      <c r="H730" s="80">
        <v>0</v>
      </c>
      <c r="I730" s="80" t="s">
        <v>456</v>
      </c>
      <c r="J730" s="79">
        <v>12</v>
      </c>
      <c r="K730" s="79">
        <v>0</v>
      </c>
      <c r="L730" s="79">
        <v>0</v>
      </c>
      <c r="M730" s="79" t="s">
        <v>579</v>
      </c>
      <c r="N730" s="79" t="s">
        <v>977</v>
      </c>
      <c r="O730" s="79" t="s">
        <v>453</v>
      </c>
      <c r="P730" s="79" t="s">
        <v>453</v>
      </c>
      <c r="Q730" s="79" t="s">
        <v>453</v>
      </c>
    </row>
    <row r="731" spans="1:17">
      <c r="A731" s="172">
        <f t="shared" si="12"/>
        <v>728</v>
      </c>
      <c r="B731" s="80" t="s">
        <v>1500</v>
      </c>
      <c r="C731" s="80" t="s">
        <v>511</v>
      </c>
      <c r="F731" s="80" t="s">
        <v>513</v>
      </c>
      <c r="G731" s="80" t="s">
        <v>456</v>
      </c>
      <c r="H731" s="80">
        <v>0</v>
      </c>
      <c r="I731" s="80" t="s">
        <v>456</v>
      </c>
      <c r="J731" s="79">
        <v>3</v>
      </c>
      <c r="K731" s="79">
        <v>2</v>
      </c>
      <c r="L731" s="79">
        <v>0</v>
      </c>
      <c r="M731" s="79" t="s">
        <v>514</v>
      </c>
      <c r="N731" s="79" t="s">
        <v>452</v>
      </c>
      <c r="O731" s="79" t="s">
        <v>452</v>
      </c>
      <c r="P731" s="79" t="s">
        <v>452</v>
      </c>
      <c r="Q731" s="79" t="s">
        <v>452</v>
      </c>
    </row>
    <row r="732" spans="1:17" ht="26.4">
      <c r="A732" s="172">
        <f t="shared" si="12"/>
        <v>729</v>
      </c>
      <c r="B732" s="80" t="s">
        <v>1501</v>
      </c>
      <c r="C732" s="80" t="s">
        <v>1502</v>
      </c>
      <c r="D732" s="80" t="s">
        <v>1501</v>
      </c>
      <c r="E732" s="116" t="s">
        <v>1503</v>
      </c>
      <c r="F732" s="80" t="s">
        <v>976</v>
      </c>
      <c r="G732" s="80" t="s">
        <v>456</v>
      </c>
      <c r="H732" s="80">
        <v>0</v>
      </c>
      <c r="I732" s="80" t="s">
        <v>456</v>
      </c>
      <c r="J732" s="79">
        <v>4</v>
      </c>
      <c r="K732" s="79">
        <v>0</v>
      </c>
      <c r="L732" s="79">
        <v>0</v>
      </c>
      <c r="M732" s="79" t="s">
        <v>579</v>
      </c>
      <c r="N732" s="79" t="s">
        <v>977</v>
      </c>
      <c r="O732" s="79" t="s">
        <v>453</v>
      </c>
      <c r="P732" s="79" t="s">
        <v>453</v>
      </c>
      <c r="Q732" s="79" t="s">
        <v>453</v>
      </c>
    </row>
    <row r="733" spans="1:17" ht="26.4">
      <c r="A733" s="172">
        <f t="shared" si="12"/>
        <v>730</v>
      </c>
      <c r="B733" s="80" t="s">
        <v>1504</v>
      </c>
      <c r="C733" s="80" t="s">
        <v>511</v>
      </c>
      <c r="F733" s="80" t="s">
        <v>513</v>
      </c>
      <c r="G733" s="80" t="s">
        <v>456</v>
      </c>
      <c r="H733" s="80">
        <v>0</v>
      </c>
      <c r="I733" s="80" t="s">
        <v>456</v>
      </c>
      <c r="J733" s="79">
        <v>12</v>
      </c>
      <c r="K733" s="79">
        <v>0</v>
      </c>
      <c r="L733" s="79">
        <v>0</v>
      </c>
      <c r="M733" s="79" t="s">
        <v>514</v>
      </c>
      <c r="N733" s="79" t="s">
        <v>452</v>
      </c>
      <c r="O733" s="79" t="s">
        <v>452</v>
      </c>
      <c r="P733" s="79" t="s">
        <v>452</v>
      </c>
      <c r="Q733" s="79" t="s">
        <v>452</v>
      </c>
    </row>
    <row r="734" spans="1:17">
      <c r="A734" s="172">
        <f t="shared" si="12"/>
        <v>731</v>
      </c>
      <c r="B734" s="80" t="s">
        <v>1505</v>
      </c>
      <c r="C734" s="80" t="s">
        <v>511</v>
      </c>
      <c r="F734" s="80" t="s">
        <v>513</v>
      </c>
      <c r="G734" s="80" t="s">
        <v>456</v>
      </c>
      <c r="H734" s="80">
        <v>0</v>
      </c>
      <c r="I734" s="80" t="s">
        <v>456</v>
      </c>
      <c r="J734" s="79">
        <v>12</v>
      </c>
      <c r="K734" s="79">
        <v>0</v>
      </c>
      <c r="L734" s="79">
        <v>0</v>
      </c>
      <c r="M734" s="79" t="s">
        <v>514</v>
      </c>
      <c r="N734" s="79" t="s">
        <v>452</v>
      </c>
      <c r="O734" s="79" t="s">
        <v>452</v>
      </c>
      <c r="P734" s="79" t="s">
        <v>452</v>
      </c>
      <c r="Q734" s="79" t="s">
        <v>452</v>
      </c>
    </row>
    <row r="735" spans="1:17" ht="26.4">
      <c r="A735" s="172">
        <f t="shared" si="12"/>
        <v>732</v>
      </c>
      <c r="B735" s="80" t="s">
        <v>1506</v>
      </c>
      <c r="C735" s="80" t="s">
        <v>511</v>
      </c>
      <c r="F735" s="80" t="s">
        <v>513</v>
      </c>
      <c r="G735" s="80" t="s">
        <v>456</v>
      </c>
      <c r="H735" s="80">
        <v>0</v>
      </c>
      <c r="I735" s="80" t="s">
        <v>456</v>
      </c>
      <c r="J735" s="79">
        <v>12</v>
      </c>
      <c r="K735" s="79">
        <v>0</v>
      </c>
      <c r="L735" s="79">
        <v>0</v>
      </c>
      <c r="M735" s="79" t="s">
        <v>514</v>
      </c>
      <c r="N735" s="79" t="s">
        <v>452</v>
      </c>
      <c r="O735" s="79" t="s">
        <v>452</v>
      </c>
      <c r="P735" s="79" t="s">
        <v>452</v>
      </c>
      <c r="Q735" s="79" t="s">
        <v>452</v>
      </c>
    </row>
    <row r="736" spans="1:17" ht="26.4">
      <c r="A736" s="172">
        <f t="shared" si="12"/>
        <v>733</v>
      </c>
      <c r="B736" s="80" t="s">
        <v>1507</v>
      </c>
      <c r="C736" s="80" t="s">
        <v>511</v>
      </c>
      <c r="F736" s="80" t="s">
        <v>513</v>
      </c>
      <c r="G736" s="80" t="s">
        <v>456</v>
      </c>
      <c r="H736" s="80">
        <v>0</v>
      </c>
      <c r="I736" s="80" t="s">
        <v>456</v>
      </c>
      <c r="J736" s="79">
        <v>12</v>
      </c>
      <c r="K736" s="79">
        <v>0</v>
      </c>
      <c r="L736" s="79">
        <v>0</v>
      </c>
      <c r="M736" s="79" t="s">
        <v>514</v>
      </c>
      <c r="N736" s="79" t="s">
        <v>452</v>
      </c>
      <c r="O736" s="79" t="s">
        <v>452</v>
      </c>
      <c r="P736" s="79" t="s">
        <v>452</v>
      </c>
      <c r="Q736" s="79" t="s">
        <v>452</v>
      </c>
    </row>
    <row r="737" spans="1:17" ht="26.4">
      <c r="A737" s="172">
        <f t="shared" si="12"/>
        <v>734</v>
      </c>
      <c r="B737" s="80" t="s">
        <v>1508</v>
      </c>
      <c r="C737" s="80" t="s">
        <v>511</v>
      </c>
      <c r="F737" s="80" t="s">
        <v>513</v>
      </c>
      <c r="G737" s="80" t="s">
        <v>456</v>
      </c>
      <c r="H737" s="80">
        <v>0</v>
      </c>
      <c r="I737" s="80" t="s">
        <v>456</v>
      </c>
      <c r="J737" s="79">
        <v>12</v>
      </c>
      <c r="K737" s="79">
        <v>0</v>
      </c>
      <c r="L737" s="79">
        <v>0</v>
      </c>
      <c r="M737" s="79" t="s">
        <v>514</v>
      </c>
      <c r="N737" s="79" t="s">
        <v>452</v>
      </c>
      <c r="O737" s="79" t="s">
        <v>452</v>
      </c>
      <c r="P737" s="79" t="s">
        <v>452</v>
      </c>
      <c r="Q737" s="79" t="s">
        <v>452</v>
      </c>
    </row>
    <row r="738" spans="1:17" ht="26.4">
      <c r="A738" s="172">
        <f t="shared" si="12"/>
        <v>735</v>
      </c>
      <c r="B738" s="80" t="s">
        <v>1509</v>
      </c>
      <c r="C738" s="80" t="s">
        <v>511</v>
      </c>
      <c r="F738" s="80" t="s">
        <v>513</v>
      </c>
      <c r="G738" s="80" t="s">
        <v>456</v>
      </c>
      <c r="H738" s="80">
        <v>0</v>
      </c>
      <c r="I738" s="80" t="s">
        <v>456</v>
      </c>
      <c r="J738" s="79">
        <v>12</v>
      </c>
      <c r="K738" s="79">
        <v>0</v>
      </c>
      <c r="L738" s="79">
        <v>0</v>
      </c>
      <c r="M738" s="79" t="s">
        <v>514</v>
      </c>
      <c r="N738" s="79" t="s">
        <v>452</v>
      </c>
      <c r="O738" s="79" t="s">
        <v>452</v>
      </c>
      <c r="P738" s="79" t="s">
        <v>452</v>
      </c>
      <c r="Q738" s="79" t="s">
        <v>452</v>
      </c>
    </row>
    <row r="739" spans="1:17" ht="26.4">
      <c r="A739" s="172">
        <f t="shared" si="12"/>
        <v>736</v>
      </c>
      <c r="B739" s="80" t="s">
        <v>1510</v>
      </c>
      <c r="C739" s="80" t="s">
        <v>511</v>
      </c>
      <c r="F739" s="80" t="s">
        <v>513</v>
      </c>
      <c r="G739" s="80" t="s">
        <v>456</v>
      </c>
      <c r="H739" s="80">
        <v>0</v>
      </c>
      <c r="I739" s="80" t="s">
        <v>456</v>
      </c>
      <c r="J739" s="79">
        <v>12</v>
      </c>
      <c r="K739" s="79">
        <v>0</v>
      </c>
      <c r="L739" s="79">
        <v>0</v>
      </c>
      <c r="M739" s="79" t="s">
        <v>514</v>
      </c>
      <c r="N739" s="79" t="s">
        <v>452</v>
      </c>
      <c r="O739" s="79" t="s">
        <v>452</v>
      </c>
      <c r="P739" s="79" t="s">
        <v>452</v>
      </c>
      <c r="Q739" s="79" t="s">
        <v>452</v>
      </c>
    </row>
    <row r="740" spans="1:17" ht="26.4">
      <c r="A740" s="172">
        <f t="shared" si="12"/>
        <v>737</v>
      </c>
      <c r="B740" s="80" t="s">
        <v>1511</v>
      </c>
      <c r="C740" s="80" t="s">
        <v>511</v>
      </c>
      <c r="F740" s="80" t="s">
        <v>513</v>
      </c>
      <c r="G740" s="80" t="s">
        <v>456</v>
      </c>
      <c r="H740" s="80">
        <v>0</v>
      </c>
      <c r="I740" s="80" t="s">
        <v>456</v>
      </c>
      <c r="J740" s="79">
        <v>12</v>
      </c>
      <c r="K740" s="79">
        <v>0</v>
      </c>
      <c r="L740" s="79">
        <v>0</v>
      </c>
      <c r="M740" s="79" t="s">
        <v>514</v>
      </c>
      <c r="N740" s="79" t="s">
        <v>452</v>
      </c>
      <c r="O740" s="79" t="s">
        <v>452</v>
      </c>
      <c r="P740" s="79" t="s">
        <v>452</v>
      </c>
      <c r="Q740" s="79" t="s">
        <v>452</v>
      </c>
    </row>
    <row r="741" spans="1:17" ht="26.4">
      <c r="A741" s="172">
        <f t="shared" si="12"/>
        <v>738</v>
      </c>
      <c r="B741" s="80" t="s">
        <v>1512</v>
      </c>
      <c r="C741" s="80" t="s">
        <v>511</v>
      </c>
      <c r="F741" s="80" t="s">
        <v>513</v>
      </c>
      <c r="G741" s="80" t="s">
        <v>456</v>
      </c>
      <c r="H741" s="80">
        <v>0</v>
      </c>
      <c r="I741" s="80" t="s">
        <v>456</v>
      </c>
      <c r="J741" s="79">
        <v>12</v>
      </c>
      <c r="K741" s="79">
        <v>0</v>
      </c>
      <c r="L741" s="79">
        <v>0</v>
      </c>
      <c r="M741" s="79" t="s">
        <v>514</v>
      </c>
      <c r="N741" s="79" t="s">
        <v>452</v>
      </c>
      <c r="O741" s="79" t="s">
        <v>452</v>
      </c>
      <c r="P741" s="79" t="s">
        <v>452</v>
      </c>
      <c r="Q741" s="79" t="s">
        <v>452</v>
      </c>
    </row>
    <row r="742" spans="1:17" ht="26.4">
      <c r="A742" s="172">
        <f t="shared" si="12"/>
        <v>739</v>
      </c>
      <c r="B742" s="80" t="s">
        <v>1513</v>
      </c>
      <c r="C742" s="80" t="s">
        <v>511</v>
      </c>
      <c r="F742" s="80" t="s">
        <v>513</v>
      </c>
      <c r="G742" s="80" t="s">
        <v>456</v>
      </c>
      <c r="H742" s="80">
        <v>0</v>
      </c>
      <c r="I742" s="80" t="s">
        <v>456</v>
      </c>
      <c r="J742" s="79">
        <v>12</v>
      </c>
      <c r="K742" s="79">
        <v>0</v>
      </c>
      <c r="L742" s="79">
        <v>0</v>
      </c>
      <c r="M742" s="79" t="s">
        <v>514</v>
      </c>
      <c r="N742" s="79" t="s">
        <v>452</v>
      </c>
      <c r="O742" s="79" t="s">
        <v>452</v>
      </c>
      <c r="P742" s="79" t="s">
        <v>452</v>
      </c>
      <c r="Q742" s="79" t="s">
        <v>452</v>
      </c>
    </row>
    <row r="743" spans="1:17" ht="26.4">
      <c r="A743" s="172">
        <f t="shared" si="12"/>
        <v>740</v>
      </c>
      <c r="B743" s="80" t="s">
        <v>1514</v>
      </c>
      <c r="C743" s="80" t="s">
        <v>511</v>
      </c>
      <c r="F743" s="80" t="s">
        <v>513</v>
      </c>
      <c r="G743" s="80" t="s">
        <v>456</v>
      </c>
      <c r="H743" s="80">
        <v>0</v>
      </c>
      <c r="I743" s="80" t="s">
        <v>456</v>
      </c>
      <c r="J743" s="79">
        <v>12</v>
      </c>
      <c r="K743" s="79">
        <v>0</v>
      </c>
      <c r="L743" s="79">
        <v>0</v>
      </c>
      <c r="M743" s="79" t="s">
        <v>514</v>
      </c>
      <c r="N743" s="79" t="s">
        <v>452</v>
      </c>
      <c r="O743" s="79" t="s">
        <v>452</v>
      </c>
      <c r="P743" s="79" t="s">
        <v>452</v>
      </c>
      <c r="Q743" s="79" t="s">
        <v>452</v>
      </c>
    </row>
    <row r="744" spans="1:17" ht="26.4">
      <c r="A744" s="172">
        <f t="shared" si="12"/>
        <v>741</v>
      </c>
      <c r="B744" s="80" t="s">
        <v>1515</v>
      </c>
      <c r="C744" s="80" t="s">
        <v>511</v>
      </c>
      <c r="F744" s="80" t="s">
        <v>513</v>
      </c>
      <c r="G744" s="80" t="s">
        <v>456</v>
      </c>
      <c r="H744" s="80">
        <v>0</v>
      </c>
      <c r="I744" s="80" t="s">
        <v>456</v>
      </c>
      <c r="J744" s="79">
        <v>12</v>
      </c>
      <c r="K744" s="79">
        <v>0</v>
      </c>
      <c r="L744" s="79">
        <v>0</v>
      </c>
      <c r="M744" s="79" t="s">
        <v>514</v>
      </c>
      <c r="N744" s="79" t="s">
        <v>452</v>
      </c>
      <c r="O744" s="79" t="s">
        <v>452</v>
      </c>
      <c r="P744" s="79" t="s">
        <v>452</v>
      </c>
      <c r="Q744" s="79" t="s">
        <v>452</v>
      </c>
    </row>
    <row r="745" spans="1:17" ht="26.4">
      <c r="A745" s="172">
        <f t="shared" si="12"/>
        <v>742</v>
      </c>
      <c r="B745" s="80" t="s">
        <v>1516</v>
      </c>
      <c r="C745" s="80" t="s">
        <v>511</v>
      </c>
      <c r="F745" s="80" t="s">
        <v>513</v>
      </c>
      <c r="G745" s="80" t="s">
        <v>456</v>
      </c>
      <c r="H745" s="80">
        <v>0</v>
      </c>
      <c r="I745" s="80" t="s">
        <v>456</v>
      </c>
      <c r="J745" s="79">
        <v>12</v>
      </c>
      <c r="K745" s="79">
        <v>0</v>
      </c>
      <c r="L745" s="79">
        <v>0</v>
      </c>
      <c r="M745" s="79" t="s">
        <v>514</v>
      </c>
      <c r="N745" s="79" t="s">
        <v>452</v>
      </c>
      <c r="O745" s="79" t="s">
        <v>452</v>
      </c>
      <c r="P745" s="79" t="s">
        <v>452</v>
      </c>
      <c r="Q745" s="79" t="s">
        <v>452</v>
      </c>
    </row>
    <row r="746" spans="1:17" ht="26.4">
      <c r="A746" s="172">
        <f t="shared" si="12"/>
        <v>743</v>
      </c>
      <c r="B746" s="80" t="s">
        <v>1517</v>
      </c>
      <c r="C746" s="80" t="s">
        <v>511</v>
      </c>
      <c r="F746" s="80" t="s">
        <v>513</v>
      </c>
      <c r="G746" s="80" t="s">
        <v>456</v>
      </c>
      <c r="H746" s="80">
        <v>0</v>
      </c>
      <c r="I746" s="80" t="s">
        <v>456</v>
      </c>
      <c r="J746" s="79">
        <v>12</v>
      </c>
      <c r="K746" s="79">
        <v>0</v>
      </c>
      <c r="L746" s="79">
        <v>0</v>
      </c>
      <c r="M746" s="79" t="s">
        <v>514</v>
      </c>
      <c r="N746" s="79" t="s">
        <v>452</v>
      </c>
      <c r="O746" s="79" t="s">
        <v>452</v>
      </c>
      <c r="P746" s="79" t="s">
        <v>452</v>
      </c>
      <c r="Q746" s="79" t="s">
        <v>452</v>
      </c>
    </row>
    <row r="747" spans="1:17" ht="26.4">
      <c r="A747" s="172">
        <f t="shared" si="12"/>
        <v>744</v>
      </c>
      <c r="B747" s="80" t="s">
        <v>1518</v>
      </c>
      <c r="C747" s="80" t="s">
        <v>511</v>
      </c>
      <c r="F747" s="80" t="s">
        <v>513</v>
      </c>
      <c r="G747" s="80" t="s">
        <v>456</v>
      </c>
      <c r="H747" s="80">
        <v>0</v>
      </c>
      <c r="I747" s="80" t="s">
        <v>456</v>
      </c>
      <c r="J747" s="79">
        <v>12</v>
      </c>
      <c r="K747" s="79">
        <v>0</v>
      </c>
      <c r="L747" s="79">
        <v>0</v>
      </c>
      <c r="M747" s="79" t="s">
        <v>514</v>
      </c>
      <c r="N747" s="79" t="s">
        <v>452</v>
      </c>
      <c r="O747" s="79" t="s">
        <v>452</v>
      </c>
      <c r="P747" s="79" t="s">
        <v>452</v>
      </c>
      <c r="Q747" s="79" t="s">
        <v>452</v>
      </c>
    </row>
    <row r="748" spans="1:17" ht="26.4">
      <c r="A748" s="172">
        <f t="shared" si="12"/>
        <v>745</v>
      </c>
      <c r="B748" s="80" t="s">
        <v>1519</v>
      </c>
      <c r="C748" s="80" t="s">
        <v>511</v>
      </c>
      <c r="F748" s="80" t="s">
        <v>513</v>
      </c>
      <c r="G748" s="80" t="s">
        <v>456</v>
      </c>
      <c r="H748" s="80">
        <v>0</v>
      </c>
      <c r="I748" s="80" t="s">
        <v>456</v>
      </c>
      <c r="J748" s="79">
        <v>12</v>
      </c>
      <c r="K748" s="79">
        <v>0</v>
      </c>
      <c r="L748" s="79">
        <v>0</v>
      </c>
      <c r="M748" s="79" t="s">
        <v>514</v>
      </c>
      <c r="N748" s="79" t="s">
        <v>452</v>
      </c>
      <c r="O748" s="79" t="s">
        <v>452</v>
      </c>
      <c r="P748" s="79" t="s">
        <v>452</v>
      </c>
      <c r="Q748" s="79" t="s">
        <v>452</v>
      </c>
    </row>
    <row r="749" spans="1:17" ht="26.4">
      <c r="A749" s="172">
        <f t="shared" si="12"/>
        <v>746</v>
      </c>
      <c r="B749" s="80" t="s">
        <v>1520</v>
      </c>
      <c r="C749" s="80" t="s">
        <v>511</v>
      </c>
      <c r="F749" s="80" t="s">
        <v>513</v>
      </c>
      <c r="G749" s="80" t="s">
        <v>456</v>
      </c>
      <c r="H749" s="80">
        <v>0</v>
      </c>
      <c r="I749" s="80" t="s">
        <v>456</v>
      </c>
      <c r="J749" s="79">
        <v>12</v>
      </c>
      <c r="K749" s="79">
        <v>0</v>
      </c>
      <c r="L749" s="79">
        <v>0</v>
      </c>
      <c r="M749" s="79" t="s">
        <v>514</v>
      </c>
      <c r="N749" s="79" t="s">
        <v>452</v>
      </c>
      <c r="O749" s="79" t="s">
        <v>452</v>
      </c>
      <c r="P749" s="79" t="s">
        <v>452</v>
      </c>
      <c r="Q749" s="79" t="s">
        <v>452</v>
      </c>
    </row>
    <row r="750" spans="1:17" ht="26.4">
      <c r="A750" s="172">
        <f t="shared" si="12"/>
        <v>747</v>
      </c>
      <c r="B750" s="80" t="s">
        <v>1521</v>
      </c>
      <c r="C750" s="80" t="s">
        <v>511</v>
      </c>
      <c r="F750" s="80" t="s">
        <v>513</v>
      </c>
      <c r="G750" s="80" t="s">
        <v>456</v>
      </c>
      <c r="H750" s="80">
        <v>0</v>
      </c>
      <c r="I750" s="80" t="s">
        <v>456</v>
      </c>
      <c r="J750" s="79">
        <v>12</v>
      </c>
      <c r="K750" s="79">
        <v>0</v>
      </c>
      <c r="L750" s="79">
        <v>0</v>
      </c>
      <c r="M750" s="79" t="s">
        <v>514</v>
      </c>
      <c r="N750" s="79" t="s">
        <v>452</v>
      </c>
      <c r="O750" s="79" t="s">
        <v>452</v>
      </c>
      <c r="P750" s="79" t="s">
        <v>452</v>
      </c>
      <c r="Q750" s="79" t="s">
        <v>452</v>
      </c>
    </row>
    <row r="751" spans="1:17" ht="26.4">
      <c r="A751" s="172">
        <f t="shared" si="12"/>
        <v>748</v>
      </c>
      <c r="B751" s="80" t="s">
        <v>1522</v>
      </c>
      <c r="C751" s="80" t="s">
        <v>511</v>
      </c>
      <c r="F751" s="80" t="s">
        <v>513</v>
      </c>
      <c r="G751" s="80" t="s">
        <v>456</v>
      </c>
      <c r="H751" s="80">
        <v>0</v>
      </c>
      <c r="I751" s="80" t="s">
        <v>456</v>
      </c>
      <c r="J751" s="79">
        <v>12</v>
      </c>
      <c r="K751" s="79">
        <v>0</v>
      </c>
      <c r="L751" s="79">
        <v>0</v>
      </c>
      <c r="M751" s="79" t="s">
        <v>514</v>
      </c>
      <c r="N751" s="79" t="s">
        <v>452</v>
      </c>
      <c r="O751" s="79" t="s">
        <v>452</v>
      </c>
      <c r="P751" s="79" t="s">
        <v>452</v>
      </c>
      <c r="Q751" s="79" t="s">
        <v>452</v>
      </c>
    </row>
    <row r="752" spans="1:17" ht="26.4">
      <c r="A752" s="172">
        <f t="shared" si="12"/>
        <v>749</v>
      </c>
      <c r="B752" s="80" t="s">
        <v>1523</v>
      </c>
      <c r="C752" s="80" t="s">
        <v>511</v>
      </c>
      <c r="F752" s="80" t="s">
        <v>513</v>
      </c>
      <c r="G752" s="80" t="s">
        <v>456</v>
      </c>
      <c r="H752" s="80">
        <v>0</v>
      </c>
      <c r="I752" s="80" t="s">
        <v>456</v>
      </c>
      <c r="J752" s="79">
        <v>12</v>
      </c>
      <c r="K752" s="79">
        <v>0</v>
      </c>
      <c r="L752" s="79">
        <v>0</v>
      </c>
      <c r="M752" s="79" t="s">
        <v>514</v>
      </c>
      <c r="N752" s="79" t="s">
        <v>452</v>
      </c>
      <c r="O752" s="79" t="s">
        <v>452</v>
      </c>
      <c r="P752" s="79" t="s">
        <v>452</v>
      </c>
      <c r="Q752" s="79" t="s">
        <v>452</v>
      </c>
    </row>
    <row r="753" spans="1:17" ht="26.4">
      <c r="A753" s="172">
        <f t="shared" si="12"/>
        <v>750</v>
      </c>
      <c r="B753" s="80" t="s">
        <v>1524</v>
      </c>
      <c r="C753" s="80" t="s">
        <v>1502</v>
      </c>
      <c r="D753" s="80" t="s">
        <v>1524</v>
      </c>
      <c r="E753" s="116" t="s">
        <v>1525</v>
      </c>
      <c r="F753" s="80" t="s">
        <v>976</v>
      </c>
      <c r="G753" s="80" t="s">
        <v>456</v>
      </c>
      <c r="H753" s="80">
        <v>0</v>
      </c>
      <c r="I753" s="80" t="s">
        <v>456</v>
      </c>
      <c r="J753" s="79">
        <v>4</v>
      </c>
      <c r="K753" s="79">
        <v>0</v>
      </c>
      <c r="L753" s="79">
        <v>0</v>
      </c>
      <c r="M753" s="79" t="s">
        <v>579</v>
      </c>
      <c r="N753" s="79" t="s">
        <v>977</v>
      </c>
      <c r="O753" s="79" t="s">
        <v>453</v>
      </c>
      <c r="P753" s="79" t="s">
        <v>453</v>
      </c>
      <c r="Q753" s="79" t="s">
        <v>453</v>
      </c>
    </row>
    <row r="754" spans="1:17">
      <c r="A754" s="172">
        <f t="shared" si="12"/>
        <v>751</v>
      </c>
      <c r="B754" s="80" t="s">
        <v>1526</v>
      </c>
      <c r="C754" s="80" t="s">
        <v>1159</v>
      </c>
      <c r="D754" s="80" t="s">
        <v>1526</v>
      </c>
      <c r="F754" s="80" t="s">
        <v>976</v>
      </c>
      <c r="G754" s="80" t="s">
        <v>456</v>
      </c>
      <c r="H754" s="80">
        <v>0</v>
      </c>
      <c r="I754" s="80" t="s">
        <v>456</v>
      </c>
      <c r="J754" s="79">
        <v>12</v>
      </c>
      <c r="K754" s="79">
        <v>0</v>
      </c>
      <c r="L754" s="79">
        <v>0</v>
      </c>
      <c r="M754" s="79" t="s">
        <v>579</v>
      </c>
      <c r="N754" s="79" t="s">
        <v>977</v>
      </c>
      <c r="O754" s="79" t="s">
        <v>453</v>
      </c>
      <c r="P754" s="79" t="s">
        <v>453</v>
      </c>
      <c r="Q754" s="79" t="s">
        <v>453</v>
      </c>
    </row>
    <row r="755" spans="1:17" ht="26.4">
      <c r="A755" s="172">
        <f t="shared" si="12"/>
        <v>752</v>
      </c>
      <c r="B755" s="80" t="s">
        <v>1527</v>
      </c>
      <c r="C755" s="80" t="s">
        <v>1502</v>
      </c>
      <c r="D755" s="80" t="s">
        <v>1527</v>
      </c>
      <c r="E755" s="116" t="s">
        <v>1528</v>
      </c>
      <c r="F755" s="80" t="s">
        <v>976</v>
      </c>
      <c r="G755" s="80" t="s">
        <v>456</v>
      </c>
      <c r="H755" s="80">
        <v>0</v>
      </c>
      <c r="I755" s="80" t="s">
        <v>456</v>
      </c>
      <c r="J755" s="79">
        <v>4</v>
      </c>
      <c r="K755" s="79">
        <v>0</v>
      </c>
      <c r="L755" s="79">
        <v>0</v>
      </c>
      <c r="M755" s="79" t="s">
        <v>579</v>
      </c>
      <c r="N755" s="79" t="s">
        <v>977</v>
      </c>
      <c r="O755" s="79" t="s">
        <v>453</v>
      </c>
      <c r="P755" s="79" t="s">
        <v>453</v>
      </c>
      <c r="Q755" s="79" t="s">
        <v>453</v>
      </c>
    </row>
    <row r="756" spans="1:17">
      <c r="A756" s="172">
        <f t="shared" si="12"/>
        <v>753</v>
      </c>
      <c r="B756" s="80" t="s">
        <v>1529</v>
      </c>
      <c r="C756" s="80" t="s">
        <v>1530</v>
      </c>
      <c r="F756" s="80" t="s">
        <v>513</v>
      </c>
      <c r="G756" s="80" t="s">
        <v>456</v>
      </c>
      <c r="H756" s="80">
        <v>0</v>
      </c>
      <c r="I756" s="80" t="s">
        <v>456</v>
      </c>
      <c r="J756" s="79">
        <v>12</v>
      </c>
      <c r="K756" s="79">
        <v>0</v>
      </c>
      <c r="L756" s="79">
        <v>0</v>
      </c>
      <c r="M756" s="79" t="s">
        <v>514</v>
      </c>
      <c r="N756" s="79" t="s">
        <v>452</v>
      </c>
      <c r="O756" s="79" t="s">
        <v>452</v>
      </c>
      <c r="P756" s="79" t="s">
        <v>452</v>
      </c>
      <c r="Q756" s="79" t="s">
        <v>452</v>
      </c>
    </row>
    <row r="757" spans="1:17">
      <c r="A757" s="172">
        <f t="shared" si="12"/>
        <v>754</v>
      </c>
      <c r="B757" s="80" t="s">
        <v>1531</v>
      </c>
      <c r="C757" s="80" t="s">
        <v>1532</v>
      </c>
      <c r="F757" s="80" t="s">
        <v>513</v>
      </c>
      <c r="G757" s="80" t="s">
        <v>456</v>
      </c>
      <c r="H757" s="80">
        <v>0</v>
      </c>
      <c r="I757" s="80" t="s">
        <v>456</v>
      </c>
      <c r="J757" s="79">
        <v>12</v>
      </c>
      <c r="K757" s="79">
        <v>0</v>
      </c>
      <c r="L757" s="79">
        <v>0</v>
      </c>
      <c r="M757" s="79" t="s">
        <v>514</v>
      </c>
      <c r="N757" s="79" t="s">
        <v>452</v>
      </c>
      <c r="O757" s="79" t="s">
        <v>452</v>
      </c>
      <c r="P757" s="79" t="s">
        <v>452</v>
      </c>
      <c r="Q757" s="79" t="s">
        <v>452</v>
      </c>
    </row>
    <row r="758" spans="1:17">
      <c r="A758" s="172">
        <f t="shared" si="12"/>
        <v>755</v>
      </c>
      <c r="B758" s="80" t="s">
        <v>1533</v>
      </c>
      <c r="C758" s="80" t="s">
        <v>1534</v>
      </c>
      <c r="F758" s="80" t="s">
        <v>513</v>
      </c>
      <c r="G758" s="80" t="s">
        <v>456</v>
      </c>
      <c r="H758" s="80">
        <v>0</v>
      </c>
      <c r="I758" s="80" t="s">
        <v>456</v>
      </c>
      <c r="J758" s="79">
        <v>3</v>
      </c>
      <c r="K758" s="79">
        <v>2</v>
      </c>
      <c r="L758" s="79">
        <v>0</v>
      </c>
      <c r="M758" s="79" t="s">
        <v>514</v>
      </c>
      <c r="N758" s="79" t="s">
        <v>452</v>
      </c>
      <c r="O758" s="79" t="s">
        <v>452</v>
      </c>
      <c r="P758" s="79" t="s">
        <v>452</v>
      </c>
      <c r="Q758" s="79" t="s">
        <v>452</v>
      </c>
    </row>
    <row r="759" spans="1:17" ht="26.4">
      <c r="A759" s="172">
        <f t="shared" si="12"/>
        <v>756</v>
      </c>
      <c r="B759" s="80" t="s">
        <v>1535</v>
      </c>
      <c r="C759" s="80" t="s">
        <v>511</v>
      </c>
      <c r="F759" s="80" t="s">
        <v>513</v>
      </c>
      <c r="G759" s="80" t="s">
        <v>456</v>
      </c>
      <c r="H759" s="80">
        <v>0</v>
      </c>
      <c r="I759" s="80" t="s">
        <v>456</v>
      </c>
      <c r="J759" s="79">
        <v>12</v>
      </c>
      <c r="K759" s="79">
        <v>0</v>
      </c>
      <c r="L759" s="79">
        <v>0</v>
      </c>
      <c r="M759" s="79" t="s">
        <v>514</v>
      </c>
      <c r="N759" s="79" t="s">
        <v>452</v>
      </c>
      <c r="Q759" s="79" t="s">
        <v>452</v>
      </c>
    </row>
    <row r="760" spans="1:17" ht="26.4">
      <c r="A760" s="172">
        <f t="shared" si="12"/>
        <v>757</v>
      </c>
      <c r="B760" s="80" t="s">
        <v>1536</v>
      </c>
      <c r="C760" s="80" t="s">
        <v>511</v>
      </c>
      <c r="F760" s="80" t="s">
        <v>513</v>
      </c>
      <c r="G760" s="80" t="s">
        <v>456</v>
      </c>
      <c r="H760" s="80">
        <v>0</v>
      </c>
      <c r="I760" s="80" t="s">
        <v>456</v>
      </c>
      <c r="J760" s="79">
        <v>12</v>
      </c>
      <c r="K760" s="79">
        <v>0</v>
      </c>
      <c r="L760" s="79">
        <v>0</v>
      </c>
      <c r="M760" s="79" t="s">
        <v>514</v>
      </c>
      <c r="N760" s="79" t="s">
        <v>452</v>
      </c>
      <c r="Q760" s="79" t="s">
        <v>452</v>
      </c>
    </row>
    <row r="761" spans="1:17" ht="26.4">
      <c r="A761" s="172">
        <f t="shared" si="12"/>
        <v>758</v>
      </c>
      <c r="B761" s="80" t="s">
        <v>1537</v>
      </c>
      <c r="C761" s="80" t="s">
        <v>511</v>
      </c>
      <c r="F761" s="80" t="s">
        <v>513</v>
      </c>
      <c r="G761" s="80" t="s">
        <v>456</v>
      </c>
      <c r="H761" s="80">
        <v>0</v>
      </c>
      <c r="I761" s="80" t="s">
        <v>456</v>
      </c>
      <c r="J761" s="79">
        <v>12</v>
      </c>
      <c r="K761" s="79">
        <v>0</v>
      </c>
      <c r="L761" s="79">
        <v>0</v>
      </c>
      <c r="M761" s="79" t="s">
        <v>514</v>
      </c>
      <c r="N761" s="79" t="s">
        <v>452</v>
      </c>
      <c r="Q761" s="79" t="s">
        <v>452</v>
      </c>
    </row>
    <row r="762" spans="1:17">
      <c r="A762" s="172">
        <f t="shared" si="12"/>
        <v>759</v>
      </c>
      <c r="B762" s="80" t="s">
        <v>1538</v>
      </c>
      <c r="C762" s="80" t="s">
        <v>1539</v>
      </c>
      <c r="D762" s="80" t="s">
        <v>1538</v>
      </c>
      <c r="E762" s="80" t="s">
        <v>1540</v>
      </c>
      <c r="F762" s="80" t="s">
        <v>976</v>
      </c>
      <c r="G762" s="80" t="s">
        <v>456</v>
      </c>
      <c r="H762" s="80">
        <v>0</v>
      </c>
      <c r="I762" s="80" t="s">
        <v>456</v>
      </c>
      <c r="J762" s="79">
        <v>12</v>
      </c>
      <c r="K762" s="79">
        <v>0</v>
      </c>
      <c r="L762" s="79">
        <v>0</v>
      </c>
      <c r="M762" s="79" t="s">
        <v>579</v>
      </c>
      <c r="N762" s="79" t="s">
        <v>977</v>
      </c>
      <c r="O762" s="79" t="s">
        <v>453</v>
      </c>
      <c r="P762" s="79" t="s">
        <v>453</v>
      </c>
      <c r="Q762" s="79" t="s">
        <v>453</v>
      </c>
    </row>
    <row r="763" spans="1:17">
      <c r="A763" s="172">
        <f t="shared" si="12"/>
        <v>760</v>
      </c>
      <c r="B763" s="80" t="s">
        <v>1541</v>
      </c>
      <c r="C763" s="80" t="s">
        <v>511</v>
      </c>
      <c r="E763" s="116" t="s">
        <v>1542</v>
      </c>
      <c r="F763" s="116" t="s">
        <v>513</v>
      </c>
      <c r="H763" s="80" t="s">
        <v>449</v>
      </c>
      <c r="I763" s="80" t="s">
        <v>450</v>
      </c>
      <c r="J763" s="79">
        <v>4</v>
      </c>
      <c r="K763" s="79">
        <v>0</v>
      </c>
      <c r="L763" s="79">
        <v>10</v>
      </c>
      <c r="M763" s="79" t="s">
        <v>514</v>
      </c>
      <c r="N763" s="79" t="s">
        <v>452</v>
      </c>
      <c r="O763" s="79" t="s">
        <v>452</v>
      </c>
    </row>
    <row r="764" spans="1:17">
      <c r="A764" s="172">
        <f t="shared" si="12"/>
        <v>761</v>
      </c>
      <c r="B764" s="80" t="s">
        <v>1543</v>
      </c>
      <c r="C764" s="80" t="s">
        <v>511</v>
      </c>
      <c r="F764" s="80" t="s">
        <v>513</v>
      </c>
      <c r="G764" s="80" t="s">
        <v>459</v>
      </c>
      <c r="H764" s="80" t="s">
        <v>449</v>
      </c>
      <c r="I764" s="80" t="s">
        <v>450</v>
      </c>
      <c r="J764" s="79">
        <v>2</v>
      </c>
      <c r="K764" s="79">
        <v>0</v>
      </c>
      <c r="L764" s="79">
        <v>0</v>
      </c>
      <c r="M764" s="79" t="s">
        <v>514</v>
      </c>
      <c r="N764" s="79" t="s">
        <v>452</v>
      </c>
      <c r="O764" s="79" t="s">
        <v>452</v>
      </c>
      <c r="P764" s="79" t="s">
        <v>452</v>
      </c>
      <c r="Q764" s="79" t="s">
        <v>452</v>
      </c>
    </row>
    <row r="765" spans="1:17">
      <c r="A765" s="172">
        <f t="shared" si="12"/>
        <v>762</v>
      </c>
      <c r="B765" s="80" t="s">
        <v>1544</v>
      </c>
      <c r="C765" s="80" t="s">
        <v>1545</v>
      </c>
      <c r="E765" s="116" t="s">
        <v>1546</v>
      </c>
      <c r="F765" s="80" t="s">
        <v>513</v>
      </c>
      <c r="G765" s="80" t="s">
        <v>468</v>
      </c>
      <c r="H765" s="80" t="s">
        <v>449</v>
      </c>
      <c r="I765" s="80" t="s">
        <v>450</v>
      </c>
      <c r="J765" s="79">
        <v>1</v>
      </c>
      <c r="K765" s="79">
        <v>0</v>
      </c>
      <c r="L765" s="79">
        <v>0</v>
      </c>
      <c r="M765" s="79" t="s">
        <v>514</v>
      </c>
      <c r="N765" s="79" t="s">
        <v>452</v>
      </c>
      <c r="O765" s="79" t="s">
        <v>452</v>
      </c>
    </row>
    <row r="766" spans="1:17">
      <c r="A766" s="172">
        <f t="shared" si="12"/>
        <v>763</v>
      </c>
      <c r="B766" s="80" t="s">
        <v>1547</v>
      </c>
      <c r="C766" s="80" t="s">
        <v>1545</v>
      </c>
      <c r="F766" s="80" t="s">
        <v>513</v>
      </c>
      <c r="H766" s="80" t="s">
        <v>449</v>
      </c>
      <c r="I766" s="80" t="s">
        <v>450</v>
      </c>
      <c r="J766" s="79">
        <v>5</v>
      </c>
      <c r="K766" s="79">
        <v>0</v>
      </c>
      <c r="L766" s="79">
        <v>0</v>
      </c>
      <c r="M766" s="79" t="s">
        <v>514</v>
      </c>
      <c r="N766" s="79" t="s">
        <v>452</v>
      </c>
      <c r="O766" s="79" t="s">
        <v>452</v>
      </c>
    </row>
    <row r="767" spans="1:17">
      <c r="A767" s="172">
        <f t="shared" si="12"/>
        <v>764</v>
      </c>
      <c r="B767" s="80" t="s">
        <v>1548</v>
      </c>
      <c r="C767" s="80" t="s">
        <v>1549</v>
      </c>
      <c r="F767" s="80" t="s">
        <v>513</v>
      </c>
      <c r="G767" s="80" t="s">
        <v>468</v>
      </c>
      <c r="H767" s="80" t="s">
        <v>118</v>
      </c>
      <c r="I767" s="80" t="s">
        <v>450</v>
      </c>
      <c r="J767" s="79">
        <v>1</v>
      </c>
      <c r="K767" s="79">
        <v>0</v>
      </c>
      <c r="L767" s="79">
        <v>0</v>
      </c>
      <c r="M767" s="79" t="s">
        <v>514</v>
      </c>
      <c r="N767" s="79" t="s">
        <v>452</v>
      </c>
      <c r="O767" s="79" t="s">
        <v>452</v>
      </c>
    </row>
    <row r="768" spans="1:17">
      <c r="A768" s="172">
        <f t="shared" si="12"/>
        <v>765</v>
      </c>
      <c r="B768" s="80" t="s">
        <v>1550</v>
      </c>
      <c r="C768" s="80" t="s">
        <v>1549</v>
      </c>
      <c r="F768" s="80" t="s">
        <v>513</v>
      </c>
      <c r="H768" s="80" t="s">
        <v>449</v>
      </c>
      <c r="I768" s="80" t="s">
        <v>450</v>
      </c>
      <c r="J768" s="79">
        <v>5</v>
      </c>
      <c r="K768" s="79">
        <v>0</v>
      </c>
      <c r="L768" s="79">
        <v>0</v>
      </c>
      <c r="M768" s="79" t="s">
        <v>514</v>
      </c>
      <c r="N768" s="79" t="s">
        <v>452</v>
      </c>
      <c r="O768" s="79" t="s">
        <v>452</v>
      </c>
    </row>
    <row r="769" spans="1:17">
      <c r="A769" s="172">
        <f t="shared" si="12"/>
        <v>766</v>
      </c>
      <c r="B769" s="80" t="s">
        <v>1551</v>
      </c>
      <c r="C769" s="80" t="s">
        <v>1549</v>
      </c>
      <c r="F769" s="80" t="s">
        <v>513</v>
      </c>
      <c r="G769" s="80" t="s">
        <v>468</v>
      </c>
      <c r="H769" s="80" t="s">
        <v>118</v>
      </c>
      <c r="I769" s="80" t="s">
        <v>450</v>
      </c>
      <c r="J769" s="79">
        <v>1</v>
      </c>
      <c r="K769" s="79">
        <v>0</v>
      </c>
      <c r="L769" s="79">
        <v>0</v>
      </c>
      <c r="M769" s="79" t="s">
        <v>514</v>
      </c>
      <c r="N769" s="79" t="s">
        <v>452</v>
      </c>
      <c r="O769" s="79" t="s">
        <v>452</v>
      </c>
    </row>
    <row r="770" spans="1:17" ht="26.4">
      <c r="A770" s="172">
        <f t="shared" si="12"/>
        <v>767</v>
      </c>
      <c r="B770" s="80" t="s">
        <v>1552</v>
      </c>
      <c r="C770" s="80" t="s">
        <v>1549</v>
      </c>
      <c r="F770" s="80" t="s">
        <v>513</v>
      </c>
      <c r="G770" s="80" t="s">
        <v>468</v>
      </c>
      <c r="H770" s="80" t="s">
        <v>118</v>
      </c>
      <c r="I770" s="80" t="s">
        <v>450</v>
      </c>
      <c r="J770" s="79">
        <v>1</v>
      </c>
      <c r="K770" s="79">
        <v>0</v>
      </c>
      <c r="L770" s="79">
        <v>0</v>
      </c>
      <c r="M770" s="79" t="s">
        <v>514</v>
      </c>
      <c r="N770" s="79" t="s">
        <v>452</v>
      </c>
      <c r="O770" s="79" t="s">
        <v>452</v>
      </c>
    </row>
    <row r="771" spans="1:17">
      <c r="A771" s="172">
        <f t="shared" si="12"/>
        <v>768</v>
      </c>
      <c r="B771" s="80" t="s">
        <v>1553</v>
      </c>
      <c r="C771" s="80" t="s">
        <v>511</v>
      </c>
      <c r="F771" s="80" t="s">
        <v>513</v>
      </c>
      <c r="G771" s="80" t="s">
        <v>456</v>
      </c>
      <c r="H771" s="80">
        <v>0</v>
      </c>
      <c r="I771" s="80" t="s">
        <v>456</v>
      </c>
      <c r="J771" s="79">
        <v>2</v>
      </c>
      <c r="K771" s="79">
        <v>0</v>
      </c>
      <c r="L771" s="79">
        <v>0</v>
      </c>
      <c r="M771" s="79" t="s">
        <v>514</v>
      </c>
      <c r="N771" s="79" t="s">
        <v>452</v>
      </c>
      <c r="P771" s="79" t="s">
        <v>452</v>
      </c>
    </row>
    <row r="772" spans="1:17">
      <c r="A772" s="172">
        <f t="shared" si="12"/>
        <v>769</v>
      </c>
      <c r="B772" s="80" t="s">
        <v>1554</v>
      </c>
      <c r="C772" s="80" t="s">
        <v>511</v>
      </c>
      <c r="F772" s="80" t="s">
        <v>513</v>
      </c>
      <c r="G772" s="80" t="s">
        <v>456</v>
      </c>
      <c r="H772" s="80">
        <v>0</v>
      </c>
      <c r="I772" s="80" t="s">
        <v>456</v>
      </c>
      <c r="J772" s="79">
        <v>4</v>
      </c>
      <c r="K772" s="79">
        <v>0</v>
      </c>
      <c r="L772" s="79">
        <v>0</v>
      </c>
      <c r="M772" s="79" t="s">
        <v>514</v>
      </c>
      <c r="N772" s="79" t="s">
        <v>452</v>
      </c>
      <c r="P772" s="79" t="s">
        <v>452</v>
      </c>
    </row>
    <row r="773" spans="1:17">
      <c r="A773" s="172">
        <f t="shared" si="12"/>
        <v>770</v>
      </c>
      <c r="B773" s="80" t="s">
        <v>1555</v>
      </c>
      <c r="C773" s="80" t="s">
        <v>511</v>
      </c>
      <c r="F773" s="80" t="s">
        <v>513</v>
      </c>
      <c r="G773" s="80" t="s">
        <v>456</v>
      </c>
      <c r="H773" s="80">
        <v>0</v>
      </c>
      <c r="I773" s="80" t="s">
        <v>456</v>
      </c>
      <c r="J773" s="79">
        <v>2</v>
      </c>
      <c r="K773" s="79">
        <v>0</v>
      </c>
      <c r="L773" s="79">
        <v>0</v>
      </c>
      <c r="M773" s="79" t="s">
        <v>514</v>
      </c>
      <c r="N773" s="79" t="s">
        <v>452</v>
      </c>
      <c r="P773" s="79" t="s">
        <v>452</v>
      </c>
    </row>
    <row r="774" spans="1:17">
      <c r="A774" s="172">
        <f t="shared" si="12"/>
        <v>771</v>
      </c>
      <c r="B774" s="80" t="s">
        <v>1556</v>
      </c>
      <c r="C774" s="80" t="s">
        <v>511</v>
      </c>
      <c r="F774" s="80" t="s">
        <v>513</v>
      </c>
      <c r="G774" s="80" t="s">
        <v>456</v>
      </c>
      <c r="H774" s="80">
        <v>0</v>
      </c>
      <c r="I774" s="80" t="s">
        <v>456</v>
      </c>
      <c r="J774" s="79">
        <v>4</v>
      </c>
      <c r="K774" s="79">
        <v>0</v>
      </c>
      <c r="L774" s="79">
        <v>0</v>
      </c>
      <c r="M774" s="79" t="s">
        <v>514</v>
      </c>
      <c r="N774" s="79" t="s">
        <v>452</v>
      </c>
      <c r="P774" s="79" t="s">
        <v>452</v>
      </c>
    </row>
    <row r="775" spans="1:17">
      <c r="A775" s="172">
        <f t="shared" si="12"/>
        <v>772</v>
      </c>
      <c r="B775" s="80" t="s">
        <v>1557</v>
      </c>
      <c r="C775" s="80" t="s">
        <v>511</v>
      </c>
      <c r="F775" s="80" t="s">
        <v>513</v>
      </c>
      <c r="G775" s="80" t="s">
        <v>456</v>
      </c>
      <c r="H775" s="80">
        <v>0</v>
      </c>
      <c r="I775" s="80" t="s">
        <v>456</v>
      </c>
      <c r="J775" s="79">
        <v>2</v>
      </c>
      <c r="K775" s="79">
        <v>0</v>
      </c>
      <c r="L775" s="79">
        <v>0</v>
      </c>
      <c r="M775" s="79" t="s">
        <v>514</v>
      </c>
      <c r="N775" s="79" t="s">
        <v>452</v>
      </c>
      <c r="P775" s="79" t="s">
        <v>452</v>
      </c>
    </row>
    <row r="776" spans="1:17">
      <c r="A776" s="172">
        <f t="shared" si="12"/>
        <v>773</v>
      </c>
      <c r="B776" s="80" t="s">
        <v>1558</v>
      </c>
      <c r="C776" s="80" t="s">
        <v>511</v>
      </c>
      <c r="F776" s="80" t="s">
        <v>513</v>
      </c>
      <c r="G776" s="80" t="s">
        <v>456</v>
      </c>
      <c r="H776" s="80">
        <v>0</v>
      </c>
      <c r="I776" s="80" t="s">
        <v>456</v>
      </c>
      <c r="J776" s="79">
        <v>4</v>
      </c>
      <c r="K776" s="79">
        <v>0</v>
      </c>
      <c r="L776" s="79">
        <v>0</v>
      </c>
      <c r="M776" s="79" t="s">
        <v>514</v>
      </c>
      <c r="N776" s="79" t="s">
        <v>452</v>
      </c>
      <c r="P776" s="79" t="s">
        <v>452</v>
      </c>
    </row>
    <row r="777" spans="1:17">
      <c r="A777" s="172">
        <f t="shared" si="12"/>
        <v>774</v>
      </c>
      <c r="B777" s="80" t="s">
        <v>1559</v>
      </c>
      <c r="C777" s="80" t="s">
        <v>511</v>
      </c>
      <c r="F777" s="80" t="s">
        <v>513</v>
      </c>
      <c r="G777" s="80" t="s">
        <v>456</v>
      </c>
      <c r="H777" s="80">
        <v>0</v>
      </c>
      <c r="I777" s="80" t="s">
        <v>456</v>
      </c>
      <c r="J777" s="79">
        <v>2</v>
      </c>
      <c r="K777" s="79">
        <v>0</v>
      </c>
      <c r="L777" s="79">
        <v>0</v>
      </c>
      <c r="M777" s="79" t="s">
        <v>514</v>
      </c>
      <c r="N777" s="79" t="s">
        <v>452</v>
      </c>
      <c r="P777" s="79" t="s">
        <v>452</v>
      </c>
    </row>
    <row r="778" spans="1:17">
      <c r="A778" s="172">
        <f t="shared" si="12"/>
        <v>775</v>
      </c>
      <c r="B778" s="80" t="s">
        <v>1560</v>
      </c>
      <c r="C778" s="80" t="s">
        <v>511</v>
      </c>
      <c r="F778" s="80" t="s">
        <v>513</v>
      </c>
      <c r="G778" s="80" t="s">
        <v>456</v>
      </c>
      <c r="H778" s="80">
        <v>0</v>
      </c>
      <c r="I778" s="80" t="s">
        <v>456</v>
      </c>
      <c r="J778" s="79">
        <v>4</v>
      </c>
      <c r="K778" s="79">
        <v>0</v>
      </c>
      <c r="L778" s="79">
        <v>0</v>
      </c>
      <c r="M778" s="79" t="s">
        <v>514</v>
      </c>
      <c r="N778" s="79" t="s">
        <v>452</v>
      </c>
      <c r="P778" s="79" t="s">
        <v>452</v>
      </c>
    </row>
    <row r="779" spans="1:17">
      <c r="A779" s="172">
        <f t="shared" si="12"/>
        <v>776</v>
      </c>
      <c r="B779" s="80" t="s">
        <v>1561</v>
      </c>
      <c r="C779" s="80" t="s">
        <v>511</v>
      </c>
      <c r="F779" s="80" t="s">
        <v>513</v>
      </c>
      <c r="G779" s="80" t="s">
        <v>456</v>
      </c>
      <c r="H779" s="80">
        <v>0</v>
      </c>
      <c r="I779" s="80" t="s">
        <v>456</v>
      </c>
      <c r="J779" s="79">
        <v>2</v>
      </c>
      <c r="K779" s="79">
        <v>0</v>
      </c>
      <c r="L779" s="79">
        <v>0</v>
      </c>
      <c r="M779" s="79" t="s">
        <v>514</v>
      </c>
      <c r="N779" s="79" t="s">
        <v>452</v>
      </c>
      <c r="P779" s="79" t="s">
        <v>452</v>
      </c>
    </row>
    <row r="780" spans="1:17">
      <c r="A780" s="172">
        <f t="shared" si="12"/>
        <v>777</v>
      </c>
      <c r="B780" s="80" t="s">
        <v>1562</v>
      </c>
      <c r="C780" s="80" t="s">
        <v>511</v>
      </c>
      <c r="F780" s="80" t="s">
        <v>513</v>
      </c>
      <c r="G780" s="80" t="s">
        <v>456</v>
      </c>
      <c r="H780" s="80">
        <v>0</v>
      </c>
      <c r="I780" s="80" t="s">
        <v>456</v>
      </c>
      <c r="J780" s="79">
        <v>4</v>
      </c>
      <c r="K780" s="79">
        <v>0</v>
      </c>
      <c r="L780" s="79">
        <v>0</v>
      </c>
      <c r="M780" s="79" t="s">
        <v>514</v>
      </c>
      <c r="N780" s="79" t="s">
        <v>452</v>
      </c>
      <c r="P780" s="79" t="s">
        <v>452</v>
      </c>
    </row>
    <row r="781" spans="1:17" ht="26.4">
      <c r="A781" s="172">
        <f t="shared" si="12"/>
        <v>778</v>
      </c>
      <c r="B781" s="80" t="s">
        <v>1563</v>
      </c>
      <c r="C781" s="80" t="s">
        <v>1564</v>
      </c>
      <c r="D781" s="80" t="s">
        <v>1563</v>
      </c>
      <c r="E781" s="116" t="s">
        <v>1565</v>
      </c>
      <c r="F781" s="80" t="s">
        <v>976</v>
      </c>
      <c r="G781" s="80" t="s">
        <v>456</v>
      </c>
      <c r="H781" s="80">
        <v>0</v>
      </c>
      <c r="I781" s="80" t="s">
        <v>456</v>
      </c>
      <c r="J781" s="79">
        <v>4</v>
      </c>
      <c r="K781" s="79">
        <v>0</v>
      </c>
      <c r="L781" s="79">
        <v>0</v>
      </c>
      <c r="M781" s="79" t="s">
        <v>579</v>
      </c>
      <c r="N781" s="79" t="s">
        <v>977</v>
      </c>
      <c r="O781" s="79" t="s">
        <v>453</v>
      </c>
      <c r="P781" s="79" t="s">
        <v>453</v>
      </c>
      <c r="Q781" s="79" t="s">
        <v>453</v>
      </c>
    </row>
    <row r="782" spans="1:17">
      <c r="A782" s="172">
        <f t="shared" si="12"/>
        <v>779</v>
      </c>
      <c r="B782" s="80" t="s">
        <v>1566</v>
      </c>
      <c r="C782" s="80" t="s">
        <v>511</v>
      </c>
      <c r="F782" s="80" t="s">
        <v>513</v>
      </c>
      <c r="H782" s="80" t="s">
        <v>449</v>
      </c>
      <c r="I782" s="80" t="s">
        <v>450</v>
      </c>
      <c r="J782" s="79">
        <v>5</v>
      </c>
      <c r="K782" s="79">
        <v>0</v>
      </c>
      <c r="L782" s="79">
        <v>0</v>
      </c>
      <c r="M782" s="79" t="s">
        <v>514</v>
      </c>
      <c r="N782" s="79" t="s">
        <v>452</v>
      </c>
      <c r="P782" s="79" t="s">
        <v>452</v>
      </c>
      <c r="Q782" s="79" t="s">
        <v>452</v>
      </c>
    </row>
    <row r="783" spans="1:17">
      <c r="A783" s="172">
        <f t="shared" si="12"/>
        <v>780</v>
      </c>
      <c r="B783" s="80" t="s">
        <v>1567</v>
      </c>
      <c r="C783" s="80" t="s">
        <v>511</v>
      </c>
      <c r="F783" s="80" t="s">
        <v>513</v>
      </c>
      <c r="H783" s="80" t="s">
        <v>449</v>
      </c>
      <c r="I783" s="80" t="s">
        <v>450</v>
      </c>
      <c r="J783" s="79">
        <v>2</v>
      </c>
      <c r="K783" s="79">
        <v>0</v>
      </c>
      <c r="L783" s="79">
        <v>0</v>
      </c>
      <c r="M783" s="79" t="s">
        <v>514</v>
      </c>
      <c r="N783" s="79" t="s">
        <v>452</v>
      </c>
      <c r="P783" s="79" t="s">
        <v>452</v>
      </c>
      <c r="Q783" s="79" t="s">
        <v>452</v>
      </c>
    </row>
    <row r="784" spans="1:17">
      <c r="A784" s="172">
        <f t="shared" si="12"/>
        <v>781</v>
      </c>
      <c r="B784" s="80" t="s">
        <v>1568</v>
      </c>
      <c r="C784" s="80" t="s">
        <v>511</v>
      </c>
      <c r="F784" s="80" t="s">
        <v>513</v>
      </c>
      <c r="H784" s="80" t="s">
        <v>449</v>
      </c>
      <c r="I784" s="80" t="s">
        <v>450</v>
      </c>
      <c r="J784" s="79">
        <v>5</v>
      </c>
      <c r="K784" s="79">
        <v>0</v>
      </c>
      <c r="L784" s="79">
        <v>0</v>
      </c>
      <c r="M784" s="79" t="s">
        <v>514</v>
      </c>
      <c r="N784" s="79" t="s">
        <v>452</v>
      </c>
      <c r="P784" s="79" t="s">
        <v>452</v>
      </c>
      <c r="Q784" s="79" t="s">
        <v>452</v>
      </c>
    </row>
    <row r="785" spans="1:17" ht="26.4">
      <c r="A785" s="172">
        <f t="shared" si="12"/>
        <v>782</v>
      </c>
      <c r="B785" s="80" t="s">
        <v>1569</v>
      </c>
      <c r="C785" s="80" t="s">
        <v>511</v>
      </c>
      <c r="F785" s="80" t="s">
        <v>513</v>
      </c>
      <c r="G785" s="80" t="s">
        <v>459</v>
      </c>
      <c r="H785" s="80" t="s">
        <v>449</v>
      </c>
      <c r="I785" s="80" t="s">
        <v>450</v>
      </c>
      <c r="J785" s="79">
        <v>2</v>
      </c>
      <c r="K785" s="79">
        <v>0</v>
      </c>
      <c r="L785" s="79">
        <v>0</v>
      </c>
      <c r="M785" s="79" t="s">
        <v>514</v>
      </c>
      <c r="N785" s="79" t="s">
        <v>452</v>
      </c>
      <c r="O785" s="79" t="s">
        <v>452</v>
      </c>
      <c r="P785" s="79" t="s">
        <v>452</v>
      </c>
      <c r="Q785" s="79" t="s">
        <v>452</v>
      </c>
    </row>
    <row r="786" spans="1:17" ht="26.4">
      <c r="A786" s="172">
        <f t="shared" si="12"/>
        <v>783</v>
      </c>
      <c r="B786" s="80" t="s">
        <v>1570</v>
      </c>
      <c r="C786" s="80" t="s">
        <v>1571</v>
      </c>
      <c r="D786" s="80" t="s">
        <v>1570</v>
      </c>
      <c r="E786" s="116" t="s">
        <v>1572</v>
      </c>
      <c r="F786" s="80" t="s">
        <v>976</v>
      </c>
      <c r="G786" s="80" t="s">
        <v>456</v>
      </c>
      <c r="H786" s="80">
        <v>0</v>
      </c>
      <c r="I786" s="80" t="s">
        <v>456</v>
      </c>
      <c r="J786" s="79">
        <v>4</v>
      </c>
      <c r="K786" s="79">
        <v>0</v>
      </c>
      <c r="L786" s="79">
        <v>0</v>
      </c>
      <c r="M786" s="79" t="s">
        <v>579</v>
      </c>
      <c r="N786" s="79" t="s">
        <v>977</v>
      </c>
      <c r="O786" s="79" t="s">
        <v>453</v>
      </c>
      <c r="P786" s="79" t="s">
        <v>453</v>
      </c>
      <c r="Q786" s="79" t="s">
        <v>453</v>
      </c>
    </row>
    <row r="787" spans="1:17">
      <c r="A787" s="172">
        <f t="shared" si="12"/>
        <v>784</v>
      </c>
      <c r="B787" s="80" t="s">
        <v>1573</v>
      </c>
      <c r="C787" s="80" t="s">
        <v>511</v>
      </c>
      <c r="F787" s="80" t="s">
        <v>513</v>
      </c>
      <c r="H787" s="80" t="s">
        <v>449</v>
      </c>
      <c r="I787" s="80" t="s">
        <v>450</v>
      </c>
      <c r="J787" s="79">
        <v>4</v>
      </c>
      <c r="K787" s="79">
        <v>0</v>
      </c>
      <c r="L787" s="79">
        <v>10</v>
      </c>
      <c r="M787" s="79" t="s">
        <v>514</v>
      </c>
      <c r="N787" s="79" t="s">
        <v>452</v>
      </c>
      <c r="P787" s="79" t="s">
        <v>452</v>
      </c>
    </row>
    <row r="788" spans="1:17">
      <c r="A788" s="172">
        <f t="shared" si="12"/>
        <v>785</v>
      </c>
      <c r="B788" s="80" t="s">
        <v>1574</v>
      </c>
      <c r="C788" s="80" t="s">
        <v>511</v>
      </c>
      <c r="F788" s="80" t="s">
        <v>513</v>
      </c>
      <c r="G788" s="80" t="s">
        <v>459</v>
      </c>
      <c r="H788" s="80" t="s">
        <v>449</v>
      </c>
      <c r="I788" s="80" t="s">
        <v>450</v>
      </c>
      <c r="J788" s="79">
        <v>2</v>
      </c>
      <c r="K788" s="79">
        <v>0</v>
      </c>
      <c r="L788" s="79">
        <v>0</v>
      </c>
      <c r="M788" s="79" t="s">
        <v>514</v>
      </c>
      <c r="N788" s="79" t="s">
        <v>452</v>
      </c>
      <c r="O788" s="79" t="s">
        <v>452</v>
      </c>
      <c r="P788" s="79" t="s">
        <v>452</v>
      </c>
      <c r="Q788" s="79" t="s">
        <v>452</v>
      </c>
    </row>
    <row r="789" spans="1:17">
      <c r="A789" s="172">
        <f t="shared" si="12"/>
        <v>786</v>
      </c>
      <c r="B789" s="80" t="s">
        <v>1575</v>
      </c>
      <c r="C789" s="80" t="s">
        <v>511</v>
      </c>
      <c r="F789" s="80" t="s">
        <v>513</v>
      </c>
      <c r="G789" s="80" t="s">
        <v>456</v>
      </c>
      <c r="H789" s="80">
        <v>0</v>
      </c>
      <c r="I789" s="80" t="s">
        <v>456</v>
      </c>
      <c r="J789" s="79">
        <v>2</v>
      </c>
      <c r="K789" s="79">
        <v>0</v>
      </c>
      <c r="L789" s="79">
        <v>0</v>
      </c>
      <c r="M789" s="79" t="s">
        <v>514</v>
      </c>
      <c r="N789" s="79" t="s">
        <v>452</v>
      </c>
      <c r="Q789" s="79" t="s">
        <v>452</v>
      </c>
    </row>
    <row r="790" spans="1:17">
      <c r="A790" s="172">
        <f t="shared" ref="A790:A857" si="13">A789+1</f>
        <v>787</v>
      </c>
      <c r="B790" s="80" t="s">
        <v>1576</v>
      </c>
      <c r="C790" s="80" t="s">
        <v>511</v>
      </c>
      <c r="F790" s="80" t="s">
        <v>513</v>
      </c>
      <c r="G790" s="80" t="s">
        <v>456</v>
      </c>
      <c r="H790" s="80">
        <v>0</v>
      </c>
      <c r="I790" s="80" t="s">
        <v>456</v>
      </c>
      <c r="J790" s="79">
        <v>4</v>
      </c>
      <c r="K790" s="79">
        <v>0</v>
      </c>
      <c r="L790" s="79">
        <v>0</v>
      </c>
      <c r="M790" s="79" t="s">
        <v>514</v>
      </c>
      <c r="N790" s="79" t="s">
        <v>452</v>
      </c>
      <c r="Q790" s="79" t="s">
        <v>452</v>
      </c>
    </row>
    <row r="791" spans="1:17">
      <c r="A791" s="172">
        <f t="shared" si="13"/>
        <v>788</v>
      </c>
      <c r="B791" s="80" t="s">
        <v>1577</v>
      </c>
      <c r="C791" s="80" t="s">
        <v>511</v>
      </c>
      <c r="F791" s="80" t="s">
        <v>513</v>
      </c>
      <c r="G791" s="80" t="s">
        <v>456</v>
      </c>
      <c r="H791" s="80">
        <v>0</v>
      </c>
      <c r="I791" s="80" t="s">
        <v>456</v>
      </c>
      <c r="J791" s="79">
        <v>2</v>
      </c>
      <c r="K791" s="79">
        <v>0</v>
      </c>
      <c r="L791" s="79">
        <v>0</v>
      </c>
      <c r="M791" s="79" t="s">
        <v>514</v>
      </c>
      <c r="N791" s="79" t="s">
        <v>452</v>
      </c>
      <c r="Q791" s="79" t="s">
        <v>452</v>
      </c>
    </row>
    <row r="792" spans="1:17">
      <c r="A792" s="172">
        <f t="shared" si="13"/>
        <v>789</v>
      </c>
      <c r="B792" s="80" t="s">
        <v>1578</v>
      </c>
      <c r="C792" s="80" t="s">
        <v>511</v>
      </c>
      <c r="F792" s="80" t="s">
        <v>513</v>
      </c>
      <c r="G792" s="80" t="s">
        <v>456</v>
      </c>
      <c r="H792" s="80">
        <v>0</v>
      </c>
      <c r="I792" s="80" t="s">
        <v>456</v>
      </c>
      <c r="J792" s="79">
        <v>4</v>
      </c>
      <c r="K792" s="79">
        <v>0</v>
      </c>
      <c r="L792" s="79">
        <v>0</v>
      </c>
      <c r="M792" s="79" t="s">
        <v>514</v>
      </c>
      <c r="N792" s="79" t="s">
        <v>452</v>
      </c>
      <c r="Q792" s="79" t="s">
        <v>452</v>
      </c>
    </row>
    <row r="793" spans="1:17">
      <c r="A793" s="172">
        <f t="shared" si="13"/>
        <v>790</v>
      </c>
      <c r="B793" s="80" t="s">
        <v>1579</v>
      </c>
      <c r="C793" s="80" t="s">
        <v>511</v>
      </c>
      <c r="F793" s="80" t="s">
        <v>513</v>
      </c>
      <c r="G793" s="80" t="s">
        <v>456</v>
      </c>
      <c r="H793" s="80">
        <v>0</v>
      </c>
      <c r="I793" s="80" t="s">
        <v>456</v>
      </c>
      <c r="J793" s="79">
        <v>2</v>
      </c>
      <c r="K793" s="79">
        <v>0</v>
      </c>
      <c r="L793" s="79">
        <v>0</v>
      </c>
      <c r="M793" s="79" t="s">
        <v>514</v>
      </c>
      <c r="N793" s="79" t="s">
        <v>452</v>
      </c>
      <c r="Q793" s="79" t="s">
        <v>452</v>
      </c>
    </row>
    <row r="794" spans="1:17">
      <c r="A794" s="172">
        <f t="shared" si="13"/>
        <v>791</v>
      </c>
      <c r="B794" s="80" t="s">
        <v>1580</v>
      </c>
      <c r="C794" s="80" t="s">
        <v>511</v>
      </c>
      <c r="F794" s="80" t="s">
        <v>513</v>
      </c>
      <c r="G794" s="80" t="s">
        <v>456</v>
      </c>
      <c r="H794" s="80">
        <v>0</v>
      </c>
      <c r="I794" s="80" t="s">
        <v>456</v>
      </c>
      <c r="J794" s="79">
        <v>4</v>
      </c>
      <c r="K794" s="79">
        <v>0</v>
      </c>
      <c r="L794" s="79">
        <v>0</v>
      </c>
      <c r="M794" s="79" t="s">
        <v>514</v>
      </c>
      <c r="N794" s="79" t="s">
        <v>452</v>
      </c>
      <c r="Q794" s="79" t="s">
        <v>452</v>
      </c>
    </row>
    <row r="795" spans="1:17">
      <c r="A795" s="172">
        <f t="shared" si="13"/>
        <v>792</v>
      </c>
      <c r="B795" s="80" t="s">
        <v>1581</v>
      </c>
      <c r="C795" s="80" t="s">
        <v>511</v>
      </c>
      <c r="F795" s="80" t="s">
        <v>513</v>
      </c>
      <c r="G795" s="80" t="s">
        <v>456</v>
      </c>
      <c r="H795" s="80">
        <v>0</v>
      </c>
      <c r="I795" s="80" t="s">
        <v>456</v>
      </c>
      <c r="J795" s="79">
        <v>2</v>
      </c>
      <c r="K795" s="79">
        <v>0</v>
      </c>
      <c r="L795" s="79">
        <v>0</v>
      </c>
      <c r="M795" s="79" t="s">
        <v>514</v>
      </c>
      <c r="N795" s="79" t="s">
        <v>452</v>
      </c>
      <c r="Q795" s="79" t="s">
        <v>452</v>
      </c>
    </row>
    <row r="796" spans="1:17">
      <c r="A796" s="172">
        <f t="shared" si="13"/>
        <v>793</v>
      </c>
      <c r="B796" s="80" t="s">
        <v>1582</v>
      </c>
      <c r="C796" s="80" t="s">
        <v>511</v>
      </c>
      <c r="F796" s="80" t="s">
        <v>513</v>
      </c>
      <c r="G796" s="80" t="s">
        <v>456</v>
      </c>
      <c r="H796" s="80">
        <v>0</v>
      </c>
      <c r="I796" s="80" t="s">
        <v>456</v>
      </c>
      <c r="J796" s="79">
        <v>4</v>
      </c>
      <c r="K796" s="79">
        <v>0</v>
      </c>
      <c r="L796" s="79">
        <v>0</v>
      </c>
      <c r="M796" s="79" t="s">
        <v>514</v>
      </c>
      <c r="N796" s="79" t="s">
        <v>452</v>
      </c>
      <c r="Q796" s="79" t="s">
        <v>452</v>
      </c>
    </row>
    <row r="797" spans="1:17">
      <c r="A797" s="172">
        <f t="shared" si="13"/>
        <v>794</v>
      </c>
      <c r="B797" s="80" t="s">
        <v>1583</v>
      </c>
      <c r="C797" s="80" t="s">
        <v>511</v>
      </c>
      <c r="F797" s="80" t="s">
        <v>513</v>
      </c>
      <c r="G797" s="80" t="s">
        <v>456</v>
      </c>
      <c r="H797" s="80">
        <v>0</v>
      </c>
      <c r="I797" s="80" t="s">
        <v>456</v>
      </c>
      <c r="J797" s="79">
        <v>2</v>
      </c>
      <c r="K797" s="79">
        <v>0</v>
      </c>
      <c r="L797" s="79">
        <v>0</v>
      </c>
      <c r="M797" s="79" t="s">
        <v>514</v>
      </c>
      <c r="N797" s="79" t="s">
        <v>452</v>
      </c>
      <c r="Q797" s="79" t="s">
        <v>452</v>
      </c>
    </row>
    <row r="798" spans="1:17">
      <c r="A798" s="172">
        <f t="shared" si="13"/>
        <v>795</v>
      </c>
      <c r="B798" s="80" t="s">
        <v>1584</v>
      </c>
      <c r="C798" s="80" t="s">
        <v>511</v>
      </c>
      <c r="F798" s="80" t="s">
        <v>513</v>
      </c>
      <c r="G798" s="80" t="s">
        <v>456</v>
      </c>
      <c r="H798" s="80">
        <v>0</v>
      </c>
      <c r="I798" s="80" t="s">
        <v>456</v>
      </c>
      <c r="J798" s="79">
        <v>4</v>
      </c>
      <c r="K798" s="79">
        <v>0</v>
      </c>
      <c r="L798" s="79">
        <v>0</v>
      </c>
      <c r="M798" s="79" t="s">
        <v>514</v>
      </c>
      <c r="N798" s="79" t="s">
        <v>452</v>
      </c>
      <c r="Q798" s="79" t="s">
        <v>452</v>
      </c>
    </row>
    <row r="799" spans="1:17">
      <c r="A799" s="172">
        <f t="shared" si="13"/>
        <v>796</v>
      </c>
      <c r="B799" s="80" t="s">
        <v>1585</v>
      </c>
      <c r="C799" s="80" t="s">
        <v>511</v>
      </c>
      <c r="F799" s="80" t="s">
        <v>513</v>
      </c>
      <c r="G799" s="80" t="s">
        <v>456</v>
      </c>
      <c r="H799" s="80">
        <v>0</v>
      </c>
      <c r="I799" s="80" t="s">
        <v>456</v>
      </c>
      <c r="J799" s="79">
        <v>12</v>
      </c>
      <c r="K799" s="79">
        <v>2</v>
      </c>
      <c r="L799" s="79">
        <v>0</v>
      </c>
      <c r="M799" s="79" t="s">
        <v>514</v>
      </c>
      <c r="N799" s="79" t="s">
        <v>452</v>
      </c>
      <c r="Q799" s="79" t="s">
        <v>452</v>
      </c>
    </row>
    <row r="800" spans="1:17">
      <c r="A800" s="172">
        <f t="shared" si="13"/>
        <v>797</v>
      </c>
      <c r="B800" s="80" t="s">
        <v>1586</v>
      </c>
      <c r="C800" s="80" t="s">
        <v>511</v>
      </c>
      <c r="F800" s="80" t="s">
        <v>513</v>
      </c>
      <c r="G800" s="80" t="s">
        <v>456</v>
      </c>
      <c r="H800" s="80">
        <v>0</v>
      </c>
      <c r="I800" s="80" t="s">
        <v>456</v>
      </c>
      <c r="J800" s="79">
        <v>3</v>
      </c>
      <c r="K800" s="79">
        <v>2</v>
      </c>
      <c r="L800" s="79">
        <v>0</v>
      </c>
      <c r="M800" s="79" t="s">
        <v>514</v>
      </c>
      <c r="N800" s="79" t="s">
        <v>452</v>
      </c>
      <c r="Q800" s="79" t="s">
        <v>452</v>
      </c>
    </row>
    <row r="801" spans="1:17">
      <c r="A801" s="172">
        <f t="shared" si="13"/>
        <v>798</v>
      </c>
      <c r="B801" s="80" t="s">
        <v>1587</v>
      </c>
      <c r="C801" s="80" t="s">
        <v>511</v>
      </c>
      <c r="F801" s="80" t="s">
        <v>513</v>
      </c>
      <c r="G801" s="80" t="s">
        <v>456</v>
      </c>
      <c r="H801" s="80">
        <v>0</v>
      </c>
      <c r="I801" s="80" t="s">
        <v>456</v>
      </c>
      <c r="J801" s="79">
        <v>5</v>
      </c>
      <c r="K801" s="79">
        <v>0</v>
      </c>
      <c r="L801" s="79">
        <v>0</v>
      </c>
      <c r="M801" s="79" t="s">
        <v>514</v>
      </c>
      <c r="N801" s="79" t="s">
        <v>452</v>
      </c>
      <c r="Q801" s="79" t="s">
        <v>452</v>
      </c>
    </row>
    <row r="802" spans="1:17">
      <c r="A802" s="172">
        <f t="shared" si="13"/>
        <v>799</v>
      </c>
      <c r="B802" s="80" t="s">
        <v>1588</v>
      </c>
      <c r="C802" s="80" t="s">
        <v>511</v>
      </c>
      <c r="F802" s="80" t="s">
        <v>513</v>
      </c>
      <c r="G802" s="80" t="s">
        <v>456</v>
      </c>
      <c r="H802" s="80">
        <v>0</v>
      </c>
      <c r="I802" s="80" t="s">
        <v>456</v>
      </c>
      <c r="J802" s="79">
        <v>12</v>
      </c>
      <c r="K802" s="79">
        <v>2</v>
      </c>
      <c r="L802" s="79">
        <v>0</v>
      </c>
      <c r="M802" s="79" t="s">
        <v>514</v>
      </c>
      <c r="N802" s="79" t="s">
        <v>452</v>
      </c>
      <c r="Q802" s="79" t="s">
        <v>452</v>
      </c>
    </row>
    <row r="803" spans="1:17">
      <c r="A803" s="172">
        <f t="shared" si="13"/>
        <v>800</v>
      </c>
      <c r="B803" s="80" t="s">
        <v>1589</v>
      </c>
      <c r="C803" s="80" t="s">
        <v>511</v>
      </c>
      <c r="F803" s="80" t="s">
        <v>513</v>
      </c>
      <c r="G803" s="80" t="s">
        <v>456</v>
      </c>
      <c r="H803" s="80">
        <v>0</v>
      </c>
      <c r="I803" s="80" t="s">
        <v>456</v>
      </c>
      <c r="J803" s="79">
        <v>5</v>
      </c>
      <c r="K803" s="79">
        <v>0</v>
      </c>
      <c r="L803" s="79">
        <v>0</v>
      </c>
      <c r="M803" s="79" t="s">
        <v>514</v>
      </c>
      <c r="N803" s="79" t="s">
        <v>452</v>
      </c>
      <c r="Q803" s="79" t="s">
        <v>452</v>
      </c>
    </row>
    <row r="804" spans="1:17" ht="26.4">
      <c r="A804" s="172">
        <f t="shared" si="13"/>
        <v>801</v>
      </c>
      <c r="B804" s="80" t="s">
        <v>1590</v>
      </c>
      <c r="C804" s="80" t="s">
        <v>511</v>
      </c>
      <c r="F804" s="80" t="s">
        <v>513</v>
      </c>
      <c r="H804" s="80" t="s">
        <v>449</v>
      </c>
      <c r="I804" s="80" t="s">
        <v>450</v>
      </c>
      <c r="J804" s="79">
        <v>1</v>
      </c>
      <c r="K804" s="79">
        <v>0</v>
      </c>
      <c r="L804" s="79">
        <v>0</v>
      </c>
      <c r="M804" s="79" t="s">
        <v>514</v>
      </c>
      <c r="N804" s="79" t="s">
        <v>452</v>
      </c>
      <c r="Q804" s="79" t="s">
        <v>452</v>
      </c>
    </row>
    <row r="805" spans="1:17" ht="26.4">
      <c r="A805" s="172">
        <f t="shared" si="13"/>
        <v>802</v>
      </c>
      <c r="B805" s="80" t="s">
        <v>1591</v>
      </c>
      <c r="C805" s="80" t="s">
        <v>511</v>
      </c>
      <c r="F805" s="80" t="s">
        <v>513</v>
      </c>
      <c r="H805" s="80" t="s">
        <v>449</v>
      </c>
      <c r="I805" s="80" t="s">
        <v>450</v>
      </c>
      <c r="J805" s="79">
        <v>1</v>
      </c>
      <c r="K805" s="79">
        <v>0</v>
      </c>
      <c r="L805" s="79">
        <v>0</v>
      </c>
      <c r="M805" s="79" t="s">
        <v>514</v>
      </c>
      <c r="N805" s="79" t="s">
        <v>452</v>
      </c>
      <c r="Q805" s="79" t="s">
        <v>452</v>
      </c>
    </row>
    <row r="806" spans="1:17" ht="26.4">
      <c r="A806" s="172">
        <f t="shared" si="13"/>
        <v>803</v>
      </c>
      <c r="B806" s="80" t="s">
        <v>1592</v>
      </c>
      <c r="C806" s="80" t="s">
        <v>511</v>
      </c>
      <c r="F806" s="80" t="s">
        <v>513</v>
      </c>
      <c r="H806" s="80" t="s">
        <v>449</v>
      </c>
      <c r="I806" s="80" t="s">
        <v>450</v>
      </c>
      <c r="J806" s="79">
        <v>1</v>
      </c>
      <c r="K806" s="79">
        <v>0</v>
      </c>
      <c r="L806" s="79">
        <v>0</v>
      </c>
      <c r="M806" s="79" t="s">
        <v>514</v>
      </c>
      <c r="N806" s="79" t="s">
        <v>452</v>
      </c>
      <c r="Q806" s="79" t="s">
        <v>452</v>
      </c>
    </row>
    <row r="807" spans="1:17" ht="26.4">
      <c r="A807" s="172">
        <f t="shared" si="13"/>
        <v>804</v>
      </c>
      <c r="B807" s="80" t="s">
        <v>1593</v>
      </c>
      <c r="C807" s="80" t="s">
        <v>511</v>
      </c>
      <c r="F807" s="80" t="s">
        <v>513</v>
      </c>
      <c r="G807" s="80" t="s">
        <v>456</v>
      </c>
      <c r="H807" s="80">
        <v>0</v>
      </c>
      <c r="I807" s="80" t="s">
        <v>456</v>
      </c>
      <c r="J807" s="79">
        <v>3</v>
      </c>
      <c r="K807" s="79">
        <v>3</v>
      </c>
      <c r="L807" s="79">
        <v>0</v>
      </c>
      <c r="M807" s="79" t="s">
        <v>514</v>
      </c>
      <c r="N807" s="79" t="s">
        <v>452</v>
      </c>
      <c r="Q807" s="79" t="s">
        <v>452</v>
      </c>
    </row>
    <row r="808" spans="1:17">
      <c r="A808" s="172">
        <f t="shared" si="13"/>
        <v>805</v>
      </c>
      <c r="B808" s="80" t="s">
        <v>1594</v>
      </c>
      <c r="C808" s="80" t="s">
        <v>511</v>
      </c>
      <c r="F808" s="80" t="s">
        <v>513</v>
      </c>
      <c r="G808" s="80" t="s">
        <v>456</v>
      </c>
      <c r="H808" s="80">
        <v>0</v>
      </c>
      <c r="I808" s="80" t="s">
        <v>456</v>
      </c>
      <c r="J808" s="79">
        <v>3</v>
      </c>
      <c r="K808" s="79">
        <v>0</v>
      </c>
      <c r="L808" s="79">
        <v>0</v>
      </c>
      <c r="M808" s="79" t="s">
        <v>514</v>
      </c>
      <c r="N808" s="79" t="s">
        <v>452</v>
      </c>
      <c r="Q808" s="79" t="s">
        <v>452</v>
      </c>
    </row>
    <row r="809" spans="1:17" ht="26.4">
      <c r="A809" s="172">
        <f t="shared" si="13"/>
        <v>806</v>
      </c>
      <c r="B809" s="80" t="s">
        <v>1595</v>
      </c>
      <c r="C809" s="80" t="s">
        <v>511</v>
      </c>
      <c r="F809" s="80" t="s">
        <v>513</v>
      </c>
      <c r="H809" s="80" t="s">
        <v>449</v>
      </c>
      <c r="I809" s="80" t="s">
        <v>450</v>
      </c>
      <c r="J809" s="79">
        <v>5</v>
      </c>
      <c r="K809" s="79">
        <v>0</v>
      </c>
      <c r="L809" s="79">
        <v>0</v>
      </c>
      <c r="M809" s="79" t="s">
        <v>514</v>
      </c>
      <c r="N809" s="79" t="s">
        <v>452</v>
      </c>
      <c r="Q809" s="79" t="s">
        <v>452</v>
      </c>
    </row>
    <row r="810" spans="1:17" ht="26.4">
      <c r="A810" s="172">
        <f t="shared" si="13"/>
        <v>807</v>
      </c>
      <c r="B810" s="80" t="s">
        <v>1596</v>
      </c>
      <c r="C810" s="80" t="s">
        <v>511</v>
      </c>
      <c r="F810" s="80" t="s">
        <v>513</v>
      </c>
      <c r="G810" s="80" t="s">
        <v>456</v>
      </c>
      <c r="H810" s="80">
        <v>0</v>
      </c>
      <c r="I810" s="80" t="s">
        <v>456</v>
      </c>
      <c r="J810" s="79">
        <v>3</v>
      </c>
      <c r="K810" s="79">
        <v>0</v>
      </c>
      <c r="L810" s="79">
        <v>0</v>
      </c>
      <c r="M810" s="79" t="s">
        <v>514</v>
      </c>
      <c r="N810" s="79" t="s">
        <v>452</v>
      </c>
      <c r="Q810" s="79" t="s">
        <v>452</v>
      </c>
    </row>
    <row r="811" spans="1:17" ht="26.4">
      <c r="A811" s="172">
        <f t="shared" si="13"/>
        <v>808</v>
      </c>
      <c r="B811" s="80" t="s">
        <v>1597</v>
      </c>
      <c r="C811" s="80" t="s">
        <v>511</v>
      </c>
      <c r="F811" s="80" t="s">
        <v>513</v>
      </c>
      <c r="G811" s="80" t="s">
        <v>456</v>
      </c>
      <c r="H811" s="80">
        <v>0</v>
      </c>
      <c r="I811" s="80" t="s">
        <v>456</v>
      </c>
      <c r="J811" s="79">
        <v>3</v>
      </c>
      <c r="K811" s="79">
        <v>3</v>
      </c>
      <c r="L811" s="79">
        <v>0</v>
      </c>
      <c r="M811" s="79" t="s">
        <v>514</v>
      </c>
      <c r="N811" s="79" t="s">
        <v>452</v>
      </c>
      <c r="Q811" s="79" t="s">
        <v>452</v>
      </c>
    </row>
    <row r="812" spans="1:17" ht="26.4">
      <c r="A812" s="172">
        <f t="shared" si="13"/>
        <v>809</v>
      </c>
      <c r="B812" s="80" t="s">
        <v>1598</v>
      </c>
      <c r="C812" s="80" t="s">
        <v>511</v>
      </c>
      <c r="F812" s="80" t="s">
        <v>513</v>
      </c>
      <c r="G812" s="80" t="s">
        <v>456</v>
      </c>
      <c r="H812" s="80">
        <v>0</v>
      </c>
      <c r="I812" s="80" t="s">
        <v>456</v>
      </c>
      <c r="J812" s="79">
        <v>3</v>
      </c>
      <c r="K812" s="79">
        <v>3</v>
      </c>
      <c r="L812" s="79">
        <v>0</v>
      </c>
      <c r="M812" s="79" t="s">
        <v>514</v>
      </c>
      <c r="N812" s="79" t="s">
        <v>452</v>
      </c>
      <c r="Q812" s="79" t="s">
        <v>452</v>
      </c>
    </row>
    <row r="813" spans="1:17">
      <c r="A813" s="172">
        <f t="shared" si="13"/>
        <v>810</v>
      </c>
      <c r="B813" s="80" t="s">
        <v>1599</v>
      </c>
      <c r="C813" s="80" t="s">
        <v>511</v>
      </c>
      <c r="F813" s="80" t="s">
        <v>513</v>
      </c>
      <c r="G813" s="80" t="s">
        <v>456</v>
      </c>
      <c r="H813" s="80">
        <v>0</v>
      </c>
      <c r="I813" s="80" t="s">
        <v>456</v>
      </c>
      <c r="J813" s="79">
        <v>12</v>
      </c>
      <c r="K813" s="79">
        <v>2</v>
      </c>
      <c r="L813" s="79">
        <v>0</v>
      </c>
      <c r="M813" s="79" t="s">
        <v>514</v>
      </c>
      <c r="N813" s="79" t="s">
        <v>452</v>
      </c>
      <c r="Q813" s="79" t="s">
        <v>452</v>
      </c>
    </row>
    <row r="814" spans="1:17">
      <c r="A814" s="172">
        <f t="shared" si="13"/>
        <v>811</v>
      </c>
      <c r="B814" s="80" t="s">
        <v>1600</v>
      </c>
      <c r="C814" s="80" t="s">
        <v>511</v>
      </c>
      <c r="F814" s="80" t="s">
        <v>513</v>
      </c>
      <c r="G814" s="80" t="s">
        <v>456</v>
      </c>
      <c r="H814" s="80">
        <v>0</v>
      </c>
      <c r="I814" s="80" t="s">
        <v>456</v>
      </c>
      <c r="J814" s="79">
        <v>3</v>
      </c>
      <c r="K814" s="79">
        <v>2</v>
      </c>
      <c r="L814" s="79">
        <v>0</v>
      </c>
      <c r="M814" s="79" t="s">
        <v>514</v>
      </c>
      <c r="N814" s="79" t="s">
        <v>452</v>
      </c>
      <c r="Q814" s="79" t="s">
        <v>452</v>
      </c>
    </row>
    <row r="815" spans="1:17">
      <c r="A815" s="172">
        <f t="shared" si="13"/>
        <v>812</v>
      </c>
      <c r="B815" s="80" t="s">
        <v>1601</v>
      </c>
      <c r="C815" s="80" t="s">
        <v>511</v>
      </c>
      <c r="F815" s="80" t="s">
        <v>513</v>
      </c>
      <c r="G815" s="80" t="s">
        <v>456</v>
      </c>
      <c r="H815" s="80">
        <v>0</v>
      </c>
      <c r="I815" s="80" t="s">
        <v>456</v>
      </c>
      <c r="J815" s="79">
        <v>5</v>
      </c>
      <c r="K815" s="79">
        <v>0</v>
      </c>
      <c r="L815" s="79">
        <v>0</v>
      </c>
      <c r="M815" s="79" t="s">
        <v>514</v>
      </c>
      <c r="N815" s="79" t="s">
        <v>452</v>
      </c>
      <c r="Q815" s="79" t="s">
        <v>452</v>
      </c>
    </row>
    <row r="816" spans="1:17">
      <c r="A816" s="172">
        <f t="shared" si="13"/>
        <v>813</v>
      </c>
      <c r="B816" s="80" t="s">
        <v>1602</v>
      </c>
      <c r="C816" s="80" t="s">
        <v>511</v>
      </c>
      <c r="F816" s="80" t="s">
        <v>513</v>
      </c>
      <c r="G816" s="80" t="s">
        <v>456</v>
      </c>
      <c r="H816" s="80">
        <v>0</v>
      </c>
      <c r="I816" s="80" t="s">
        <v>456</v>
      </c>
      <c r="J816" s="79">
        <v>12</v>
      </c>
      <c r="K816" s="79">
        <v>2</v>
      </c>
      <c r="L816" s="79">
        <v>0</v>
      </c>
      <c r="M816" s="79" t="s">
        <v>514</v>
      </c>
      <c r="N816" s="79" t="s">
        <v>452</v>
      </c>
      <c r="Q816" s="79" t="s">
        <v>452</v>
      </c>
    </row>
    <row r="817" spans="1:17">
      <c r="A817" s="172">
        <f t="shared" si="13"/>
        <v>814</v>
      </c>
      <c r="B817" s="80" t="s">
        <v>1603</v>
      </c>
      <c r="C817" s="80" t="s">
        <v>511</v>
      </c>
      <c r="F817" s="80" t="s">
        <v>513</v>
      </c>
      <c r="G817" s="80" t="s">
        <v>456</v>
      </c>
      <c r="H817" s="80">
        <v>0</v>
      </c>
      <c r="I817" s="80" t="s">
        <v>456</v>
      </c>
      <c r="J817" s="79">
        <v>5</v>
      </c>
      <c r="K817" s="79">
        <v>0</v>
      </c>
      <c r="L817" s="79">
        <v>0</v>
      </c>
      <c r="M817" s="79" t="s">
        <v>514</v>
      </c>
      <c r="N817" s="79" t="s">
        <v>452</v>
      </c>
      <c r="Q817" s="79" t="s">
        <v>452</v>
      </c>
    </row>
    <row r="818" spans="1:17" ht="26.4">
      <c r="A818" s="172">
        <f t="shared" si="13"/>
        <v>815</v>
      </c>
      <c r="B818" s="80" t="s">
        <v>1604</v>
      </c>
      <c r="C818" s="80" t="s">
        <v>511</v>
      </c>
      <c r="F818" s="80" t="s">
        <v>513</v>
      </c>
      <c r="H818" s="80" t="s">
        <v>449</v>
      </c>
      <c r="I818" s="80" t="s">
        <v>450</v>
      </c>
      <c r="J818" s="79">
        <v>1</v>
      </c>
      <c r="K818" s="79">
        <v>0</v>
      </c>
      <c r="L818" s="79">
        <v>0</v>
      </c>
      <c r="M818" s="79" t="s">
        <v>514</v>
      </c>
      <c r="N818" s="79" t="s">
        <v>452</v>
      </c>
      <c r="Q818" s="79" t="s">
        <v>452</v>
      </c>
    </row>
    <row r="819" spans="1:17" ht="26.4">
      <c r="A819" s="172">
        <f t="shared" si="13"/>
        <v>816</v>
      </c>
      <c r="B819" s="80" t="s">
        <v>1605</v>
      </c>
      <c r="C819" s="80" t="s">
        <v>511</v>
      </c>
      <c r="F819" s="80" t="s">
        <v>513</v>
      </c>
      <c r="H819" s="80" t="s">
        <v>449</v>
      </c>
      <c r="I819" s="80" t="s">
        <v>450</v>
      </c>
      <c r="J819" s="79">
        <v>1</v>
      </c>
      <c r="K819" s="79">
        <v>0</v>
      </c>
      <c r="L819" s="79">
        <v>0</v>
      </c>
      <c r="M819" s="79" t="s">
        <v>514</v>
      </c>
      <c r="N819" s="79" t="s">
        <v>452</v>
      </c>
      <c r="Q819" s="79" t="s">
        <v>452</v>
      </c>
    </row>
    <row r="820" spans="1:17" ht="26.4">
      <c r="A820" s="172">
        <f t="shared" si="13"/>
        <v>817</v>
      </c>
      <c r="B820" s="80" t="s">
        <v>1606</v>
      </c>
      <c r="C820" s="80" t="s">
        <v>511</v>
      </c>
      <c r="F820" s="80" t="s">
        <v>513</v>
      </c>
      <c r="H820" s="80" t="s">
        <v>449</v>
      </c>
      <c r="I820" s="80" t="s">
        <v>450</v>
      </c>
      <c r="J820" s="79">
        <v>1</v>
      </c>
      <c r="K820" s="79">
        <v>0</v>
      </c>
      <c r="L820" s="79">
        <v>0</v>
      </c>
      <c r="M820" s="79" t="s">
        <v>514</v>
      </c>
      <c r="N820" s="79" t="s">
        <v>452</v>
      </c>
      <c r="Q820" s="79" t="s">
        <v>452</v>
      </c>
    </row>
    <row r="821" spans="1:17" ht="26.4">
      <c r="A821" s="172">
        <f t="shared" si="13"/>
        <v>818</v>
      </c>
      <c r="B821" s="80" t="s">
        <v>1607</v>
      </c>
      <c r="C821" s="80" t="s">
        <v>511</v>
      </c>
      <c r="F821" s="80" t="s">
        <v>513</v>
      </c>
      <c r="G821" s="80" t="s">
        <v>456</v>
      </c>
      <c r="H821" s="80">
        <v>0</v>
      </c>
      <c r="I821" s="80" t="s">
        <v>456</v>
      </c>
      <c r="J821" s="79">
        <v>3</v>
      </c>
      <c r="K821" s="79">
        <v>3</v>
      </c>
      <c r="L821" s="79">
        <v>0</v>
      </c>
      <c r="M821" s="79" t="s">
        <v>514</v>
      </c>
      <c r="N821" s="79" t="s">
        <v>452</v>
      </c>
      <c r="Q821" s="79" t="s">
        <v>452</v>
      </c>
    </row>
    <row r="822" spans="1:17">
      <c r="A822" s="172">
        <f t="shared" si="13"/>
        <v>819</v>
      </c>
      <c r="B822" s="80" t="s">
        <v>1608</v>
      </c>
      <c r="C822" s="80" t="s">
        <v>511</v>
      </c>
      <c r="F822" s="80" t="s">
        <v>513</v>
      </c>
      <c r="G822" s="80" t="s">
        <v>456</v>
      </c>
      <c r="H822" s="80">
        <v>0</v>
      </c>
      <c r="I822" s="80" t="s">
        <v>456</v>
      </c>
      <c r="J822" s="79">
        <v>3</v>
      </c>
      <c r="K822" s="79">
        <v>0</v>
      </c>
      <c r="L822" s="79">
        <v>0</v>
      </c>
      <c r="M822" s="79" t="s">
        <v>514</v>
      </c>
      <c r="N822" s="79" t="s">
        <v>452</v>
      </c>
      <c r="Q822" s="79" t="s">
        <v>452</v>
      </c>
    </row>
    <row r="823" spans="1:17" ht="26.4">
      <c r="A823" s="172">
        <f t="shared" si="13"/>
        <v>820</v>
      </c>
      <c r="B823" s="80" t="s">
        <v>1609</v>
      </c>
      <c r="C823" s="80" t="s">
        <v>511</v>
      </c>
      <c r="F823" s="80" t="s">
        <v>513</v>
      </c>
      <c r="H823" s="80" t="s">
        <v>449</v>
      </c>
      <c r="I823" s="80" t="s">
        <v>450</v>
      </c>
      <c r="J823" s="79">
        <v>5</v>
      </c>
      <c r="K823" s="79">
        <v>0</v>
      </c>
      <c r="L823" s="79">
        <v>0</v>
      </c>
      <c r="M823" s="79" t="s">
        <v>514</v>
      </c>
      <c r="N823" s="79" t="s">
        <v>452</v>
      </c>
      <c r="Q823" s="79" t="s">
        <v>452</v>
      </c>
    </row>
    <row r="824" spans="1:17" ht="26.4">
      <c r="A824" s="172">
        <f t="shared" si="13"/>
        <v>821</v>
      </c>
      <c r="B824" s="80" t="s">
        <v>1610</v>
      </c>
      <c r="C824" s="80" t="s">
        <v>511</v>
      </c>
      <c r="F824" s="80" t="s">
        <v>513</v>
      </c>
      <c r="G824" s="80" t="s">
        <v>456</v>
      </c>
      <c r="H824" s="80">
        <v>0</v>
      </c>
      <c r="I824" s="80" t="s">
        <v>456</v>
      </c>
      <c r="J824" s="79">
        <v>3</v>
      </c>
      <c r="K824" s="79">
        <v>0</v>
      </c>
      <c r="L824" s="79">
        <v>0</v>
      </c>
      <c r="M824" s="79" t="s">
        <v>514</v>
      </c>
      <c r="N824" s="79" t="s">
        <v>452</v>
      </c>
      <c r="Q824" s="79" t="s">
        <v>452</v>
      </c>
    </row>
    <row r="825" spans="1:17" ht="26.4">
      <c r="A825" s="172">
        <f t="shared" si="13"/>
        <v>822</v>
      </c>
      <c r="B825" s="80" t="s">
        <v>1611</v>
      </c>
      <c r="C825" s="80" t="s">
        <v>511</v>
      </c>
      <c r="F825" s="80" t="s">
        <v>513</v>
      </c>
      <c r="G825" s="80" t="s">
        <v>456</v>
      </c>
      <c r="H825" s="80">
        <v>0</v>
      </c>
      <c r="I825" s="80" t="s">
        <v>456</v>
      </c>
      <c r="J825" s="79">
        <v>3</v>
      </c>
      <c r="K825" s="79">
        <v>3</v>
      </c>
      <c r="L825" s="79">
        <v>0</v>
      </c>
      <c r="M825" s="79" t="s">
        <v>514</v>
      </c>
      <c r="N825" s="79" t="s">
        <v>452</v>
      </c>
      <c r="Q825" s="79" t="s">
        <v>452</v>
      </c>
    </row>
    <row r="826" spans="1:17" ht="26.4">
      <c r="A826" s="172">
        <f t="shared" si="13"/>
        <v>823</v>
      </c>
      <c r="B826" s="80" t="s">
        <v>1612</v>
      </c>
      <c r="C826" s="80" t="s">
        <v>511</v>
      </c>
      <c r="F826" s="80" t="s">
        <v>513</v>
      </c>
      <c r="G826" s="80" t="s">
        <v>456</v>
      </c>
      <c r="H826" s="80">
        <v>0</v>
      </c>
      <c r="I826" s="80" t="s">
        <v>456</v>
      </c>
      <c r="J826" s="79">
        <v>3</v>
      </c>
      <c r="K826" s="79">
        <v>3</v>
      </c>
      <c r="L826" s="79">
        <v>0</v>
      </c>
      <c r="M826" s="79" t="s">
        <v>514</v>
      </c>
      <c r="N826" s="79" t="s">
        <v>452</v>
      </c>
      <c r="Q826" s="79" t="s">
        <v>452</v>
      </c>
    </row>
    <row r="827" spans="1:17">
      <c r="A827" s="172">
        <f t="shared" si="13"/>
        <v>824</v>
      </c>
      <c r="B827" s="80" t="s">
        <v>1613</v>
      </c>
      <c r="C827" s="80" t="s">
        <v>511</v>
      </c>
      <c r="F827" s="80" t="s">
        <v>513</v>
      </c>
      <c r="G827" s="80" t="s">
        <v>456</v>
      </c>
      <c r="H827" s="80">
        <v>0</v>
      </c>
      <c r="I827" s="80" t="s">
        <v>456</v>
      </c>
      <c r="J827" s="79">
        <v>12</v>
      </c>
      <c r="K827" s="79">
        <v>2</v>
      </c>
      <c r="L827" s="79">
        <v>0</v>
      </c>
      <c r="M827" s="79" t="s">
        <v>514</v>
      </c>
      <c r="N827" s="79" t="s">
        <v>452</v>
      </c>
      <c r="Q827" s="79" t="s">
        <v>452</v>
      </c>
    </row>
    <row r="828" spans="1:17">
      <c r="A828" s="172">
        <f t="shared" si="13"/>
        <v>825</v>
      </c>
      <c r="B828" s="80" t="s">
        <v>1614</v>
      </c>
      <c r="C828" s="80" t="s">
        <v>511</v>
      </c>
      <c r="F828" s="80" t="s">
        <v>513</v>
      </c>
      <c r="G828" s="80" t="s">
        <v>456</v>
      </c>
      <c r="H828" s="80">
        <v>0</v>
      </c>
      <c r="I828" s="80" t="s">
        <v>456</v>
      </c>
      <c r="J828" s="79">
        <v>3</v>
      </c>
      <c r="K828" s="79">
        <v>2</v>
      </c>
      <c r="L828" s="79">
        <v>0</v>
      </c>
      <c r="M828" s="79" t="s">
        <v>514</v>
      </c>
      <c r="N828" s="79" t="s">
        <v>452</v>
      </c>
      <c r="Q828" s="79" t="s">
        <v>452</v>
      </c>
    </row>
    <row r="829" spans="1:17">
      <c r="A829" s="172">
        <f t="shared" si="13"/>
        <v>826</v>
      </c>
      <c r="B829" s="80" t="s">
        <v>1615</v>
      </c>
      <c r="C829" s="80" t="s">
        <v>511</v>
      </c>
      <c r="F829" s="80" t="s">
        <v>513</v>
      </c>
      <c r="G829" s="80" t="s">
        <v>456</v>
      </c>
      <c r="H829" s="80">
        <v>0</v>
      </c>
      <c r="I829" s="80" t="s">
        <v>456</v>
      </c>
      <c r="J829" s="79">
        <v>5</v>
      </c>
      <c r="K829" s="79">
        <v>0</v>
      </c>
      <c r="L829" s="79">
        <v>0</v>
      </c>
      <c r="M829" s="79" t="s">
        <v>514</v>
      </c>
      <c r="N829" s="79" t="s">
        <v>452</v>
      </c>
      <c r="Q829" s="79" t="s">
        <v>452</v>
      </c>
    </row>
    <row r="830" spans="1:17">
      <c r="A830" s="172">
        <f t="shared" si="13"/>
        <v>827</v>
      </c>
      <c r="B830" s="80" t="s">
        <v>1616</v>
      </c>
      <c r="C830" s="80" t="s">
        <v>1617</v>
      </c>
      <c r="D830" s="80" t="s">
        <v>1616</v>
      </c>
      <c r="E830" s="116" t="s">
        <v>266</v>
      </c>
      <c r="F830" s="80" t="s">
        <v>629</v>
      </c>
      <c r="G830" s="80" t="s">
        <v>456</v>
      </c>
      <c r="H830" s="80">
        <v>0</v>
      </c>
      <c r="I830" s="80" t="s">
        <v>456</v>
      </c>
      <c r="J830" s="79">
        <v>10</v>
      </c>
      <c r="K830" s="79">
        <v>0</v>
      </c>
      <c r="L830" s="79">
        <v>0</v>
      </c>
      <c r="M830" s="79" t="s">
        <v>451</v>
      </c>
      <c r="N830" s="79" t="s">
        <v>452</v>
      </c>
      <c r="O830" s="79" t="s">
        <v>453</v>
      </c>
      <c r="P830" s="79" t="s">
        <v>453</v>
      </c>
      <c r="Q830" s="79" t="s">
        <v>453</v>
      </c>
    </row>
    <row r="831" spans="1:17">
      <c r="A831" s="172">
        <f t="shared" si="13"/>
        <v>828</v>
      </c>
      <c r="B831" s="80" t="s">
        <v>1618</v>
      </c>
      <c r="C831" s="80" t="s">
        <v>511</v>
      </c>
      <c r="F831" s="80" t="s">
        <v>513</v>
      </c>
      <c r="G831" s="80" t="s">
        <v>456</v>
      </c>
      <c r="H831" s="80">
        <v>0</v>
      </c>
      <c r="I831" s="80" t="s">
        <v>456</v>
      </c>
      <c r="J831" s="79">
        <v>5</v>
      </c>
      <c r="K831" s="79">
        <v>0</v>
      </c>
      <c r="L831" s="79">
        <v>0</v>
      </c>
      <c r="M831" s="79" t="s">
        <v>514</v>
      </c>
      <c r="N831" s="79" t="s">
        <v>452</v>
      </c>
      <c r="Q831" s="79" t="s">
        <v>452</v>
      </c>
    </row>
    <row r="832" spans="1:17" ht="26.4">
      <c r="A832" s="172">
        <f t="shared" si="13"/>
        <v>829</v>
      </c>
      <c r="B832" s="80" t="s">
        <v>1619</v>
      </c>
      <c r="C832" s="80" t="s">
        <v>511</v>
      </c>
      <c r="F832" s="80" t="s">
        <v>513</v>
      </c>
      <c r="H832" s="80" t="s">
        <v>449</v>
      </c>
      <c r="I832" s="80" t="s">
        <v>450</v>
      </c>
      <c r="J832" s="79">
        <v>1</v>
      </c>
      <c r="K832" s="79">
        <v>0</v>
      </c>
      <c r="L832" s="79">
        <v>0</v>
      </c>
      <c r="M832" s="79" t="s">
        <v>514</v>
      </c>
      <c r="N832" s="79" t="s">
        <v>452</v>
      </c>
      <c r="Q832" s="79" t="s">
        <v>452</v>
      </c>
    </row>
    <row r="833" spans="1:17" ht="26.4">
      <c r="A833" s="172">
        <f t="shared" si="13"/>
        <v>830</v>
      </c>
      <c r="B833" s="80" t="s">
        <v>1620</v>
      </c>
      <c r="C833" s="80" t="s">
        <v>511</v>
      </c>
      <c r="F833" s="80" t="s">
        <v>513</v>
      </c>
      <c r="H833" s="80" t="s">
        <v>449</v>
      </c>
      <c r="I833" s="80" t="s">
        <v>450</v>
      </c>
      <c r="J833" s="79">
        <v>1</v>
      </c>
      <c r="K833" s="79">
        <v>0</v>
      </c>
      <c r="L833" s="79">
        <v>0</v>
      </c>
      <c r="M833" s="79" t="s">
        <v>514</v>
      </c>
      <c r="N833" s="79" t="s">
        <v>452</v>
      </c>
      <c r="Q833" s="79" t="s">
        <v>452</v>
      </c>
    </row>
    <row r="834" spans="1:17" ht="26.4">
      <c r="A834" s="172">
        <f t="shared" si="13"/>
        <v>831</v>
      </c>
      <c r="B834" s="80" t="s">
        <v>1621</v>
      </c>
      <c r="C834" s="80" t="s">
        <v>511</v>
      </c>
      <c r="F834" s="80" t="s">
        <v>513</v>
      </c>
      <c r="H834" s="80" t="s">
        <v>449</v>
      </c>
      <c r="I834" s="80" t="s">
        <v>450</v>
      </c>
      <c r="J834" s="79">
        <v>1</v>
      </c>
      <c r="K834" s="79">
        <v>0</v>
      </c>
      <c r="L834" s="79">
        <v>0</v>
      </c>
      <c r="M834" s="79" t="s">
        <v>514</v>
      </c>
      <c r="N834" s="79" t="s">
        <v>452</v>
      </c>
      <c r="Q834" s="79" t="s">
        <v>452</v>
      </c>
    </row>
    <row r="835" spans="1:17" ht="26.4">
      <c r="A835" s="172">
        <f t="shared" si="13"/>
        <v>832</v>
      </c>
      <c r="B835" s="80" t="s">
        <v>1622</v>
      </c>
      <c r="C835" s="80" t="s">
        <v>511</v>
      </c>
      <c r="F835" s="80" t="s">
        <v>513</v>
      </c>
      <c r="G835" s="80" t="s">
        <v>456</v>
      </c>
      <c r="H835" s="80">
        <v>0</v>
      </c>
      <c r="I835" s="80" t="s">
        <v>456</v>
      </c>
      <c r="J835" s="79">
        <v>3</v>
      </c>
      <c r="K835" s="79">
        <v>3</v>
      </c>
      <c r="L835" s="79">
        <v>0</v>
      </c>
      <c r="M835" s="79" t="s">
        <v>514</v>
      </c>
      <c r="N835" s="79" t="s">
        <v>452</v>
      </c>
      <c r="Q835" s="79" t="s">
        <v>452</v>
      </c>
    </row>
    <row r="836" spans="1:17">
      <c r="A836" s="172">
        <f t="shared" si="13"/>
        <v>833</v>
      </c>
      <c r="B836" s="80" t="s">
        <v>1623</v>
      </c>
      <c r="C836" s="80" t="s">
        <v>511</v>
      </c>
      <c r="F836" s="80" t="s">
        <v>513</v>
      </c>
      <c r="G836" s="80" t="s">
        <v>456</v>
      </c>
      <c r="H836" s="80">
        <v>0</v>
      </c>
      <c r="I836" s="80" t="s">
        <v>456</v>
      </c>
      <c r="J836" s="79">
        <v>3</v>
      </c>
      <c r="K836" s="79">
        <v>0</v>
      </c>
      <c r="L836" s="79">
        <v>0</v>
      </c>
      <c r="M836" s="79" t="s">
        <v>514</v>
      </c>
      <c r="N836" s="79" t="s">
        <v>452</v>
      </c>
      <c r="Q836" s="79" t="s">
        <v>452</v>
      </c>
    </row>
    <row r="837" spans="1:17" ht="26.4">
      <c r="A837" s="172">
        <f t="shared" si="13"/>
        <v>834</v>
      </c>
      <c r="B837" s="80" t="s">
        <v>1624</v>
      </c>
      <c r="C837" s="80" t="s">
        <v>511</v>
      </c>
      <c r="F837" s="80" t="s">
        <v>513</v>
      </c>
      <c r="H837" s="80" t="s">
        <v>449</v>
      </c>
      <c r="I837" s="80" t="s">
        <v>450</v>
      </c>
      <c r="J837" s="79">
        <v>5</v>
      </c>
      <c r="K837" s="79">
        <v>0</v>
      </c>
      <c r="L837" s="79">
        <v>0</v>
      </c>
      <c r="M837" s="79" t="s">
        <v>514</v>
      </c>
      <c r="N837" s="79" t="s">
        <v>452</v>
      </c>
      <c r="Q837" s="79" t="s">
        <v>452</v>
      </c>
    </row>
    <row r="838" spans="1:17" ht="26.4">
      <c r="A838" s="172">
        <f t="shared" si="13"/>
        <v>835</v>
      </c>
      <c r="B838" s="80" t="s">
        <v>1625</v>
      </c>
      <c r="C838" s="80" t="s">
        <v>511</v>
      </c>
      <c r="F838" s="80" t="s">
        <v>513</v>
      </c>
      <c r="G838" s="80" t="s">
        <v>456</v>
      </c>
      <c r="H838" s="80">
        <v>0</v>
      </c>
      <c r="I838" s="80" t="s">
        <v>456</v>
      </c>
      <c r="J838" s="79">
        <v>3</v>
      </c>
      <c r="K838" s="79">
        <v>0</v>
      </c>
      <c r="L838" s="79">
        <v>0</v>
      </c>
      <c r="M838" s="79" t="s">
        <v>514</v>
      </c>
      <c r="N838" s="79" t="s">
        <v>452</v>
      </c>
      <c r="Q838" s="79" t="s">
        <v>452</v>
      </c>
    </row>
    <row r="839" spans="1:17" ht="26.4">
      <c r="A839" s="172">
        <f t="shared" si="13"/>
        <v>836</v>
      </c>
      <c r="B839" s="80" t="s">
        <v>1626</v>
      </c>
      <c r="C839" s="80" t="s">
        <v>511</v>
      </c>
      <c r="F839" s="80" t="s">
        <v>513</v>
      </c>
      <c r="G839" s="80" t="s">
        <v>456</v>
      </c>
      <c r="H839" s="80">
        <v>0</v>
      </c>
      <c r="I839" s="80" t="s">
        <v>456</v>
      </c>
      <c r="J839" s="79">
        <v>3</v>
      </c>
      <c r="K839" s="79">
        <v>3</v>
      </c>
      <c r="L839" s="79">
        <v>0</v>
      </c>
      <c r="M839" s="79" t="s">
        <v>514</v>
      </c>
      <c r="N839" s="79" t="s">
        <v>452</v>
      </c>
      <c r="Q839" s="79" t="s">
        <v>452</v>
      </c>
    </row>
    <row r="840" spans="1:17" ht="26.4">
      <c r="A840" s="172">
        <f t="shared" si="13"/>
        <v>837</v>
      </c>
      <c r="B840" s="80" t="s">
        <v>1627</v>
      </c>
      <c r="C840" s="80" t="s">
        <v>511</v>
      </c>
      <c r="F840" s="80" t="s">
        <v>513</v>
      </c>
      <c r="G840" s="80" t="s">
        <v>456</v>
      </c>
      <c r="H840" s="80">
        <v>0</v>
      </c>
      <c r="I840" s="80" t="s">
        <v>456</v>
      </c>
      <c r="J840" s="79">
        <v>3</v>
      </c>
      <c r="K840" s="79">
        <v>3</v>
      </c>
      <c r="L840" s="79">
        <v>0</v>
      </c>
      <c r="M840" s="79" t="s">
        <v>514</v>
      </c>
      <c r="N840" s="79" t="s">
        <v>452</v>
      </c>
      <c r="Q840" s="79" t="s">
        <v>452</v>
      </c>
    </row>
    <row r="841" spans="1:17" ht="26.4">
      <c r="A841" s="172">
        <f t="shared" si="13"/>
        <v>838</v>
      </c>
      <c r="B841" s="80" t="s">
        <v>90</v>
      </c>
      <c r="C841" s="80" t="s">
        <v>1628</v>
      </c>
      <c r="D841" s="80" t="s">
        <v>1629</v>
      </c>
      <c r="E841" s="116" t="s">
        <v>254</v>
      </c>
      <c r="F841" s="80" t="s">
        <v>629</v>
      </c>
      <c r="G841" s="80" t="s">
        <v>1630</v>
      </c>
      <c r="H841" s="80" t="s">
        <v>449</v>
      </c>
      <c r="I841" s="80" t="s">
        <v>450</v>
      </c>
      <c r="J841" s="79">
        <v>3</v>
      </c>
      <c r="K841" s="79">
        <v>0</v>
      </c>
      <c r="L841" s="79">
        <v>0</v>
      </c>
      <c r="M841" s="79" t="s">
        <v>451</v>
      </c>
      <c r="N841" s="79" t="s">
        <v>452</v>
      </c>
      <c r="O841" s="79" t="s">
        <v>453</v>
      </c>
      <c r="P841" s="79" t="s">
        <v>453</v>
      </c>
      <c r="Q841" s="79" t="s">
        <v>453</v>
      </c>
    </row>
    <row r="842" spans="1:17">
      <c r="A842" s="172">
        <f t="shared" si="13"/>
        <v>839</v>
      </c>
      <c r="B842" s="80" t="s">
        <v>1631</v>
      </c>
      <c r="C842" s="80" t="s">
        <v>511</v>
      </c>
      <c r="F842" s="80" t="s">
        <v>513</v>
      </c>
      <c r="H842" s="80" t="s">
        <v>449</v>
      </c>
      <c r="I842" s="80" t="s">
        <v>450</v>
      </c>
      <c r="J842" s="79">
        <v>4</v>
      </c>
      <c r="K842" s="79">
        <v>0</v>
      </c>
      <c r="L842" s="79">
        <v>10</v>
      </c>
      <c r="M842" s="79" t="s">
        <v>514</v>
      </c>
      <c r="N842" s="79" t="s">
        <v>452</v>
      </c>
      <c r="Q842" s="79" t="s">
        <v>452</v>
      </c>
    </row>
    <row r="843" spans="1:17">
      <c r="A843" s="172">
        <f t="shared" si="13"/>
        <v>840</v>
      </c>
      <c r="B843" s="80" t="s">
        <v>1632</v>
      </c>
      <c r="C843" s="80" t="s">
        <v>511</v>
      </c>
      <c r="F843" s="80" t="s">
        <v>513</v>
      </c>
      <c r="H843" s="80" t="s">
        <v>449</v>
      </c>
      <c r="I843" s="80" t="s">
        <v>450</v>
      </c>
      <c r="J843" s="79">
        <v>2</v>
      </c>
      <c r="K843" s="79">
        <v>0</v>
      </c>
      <c r="L843" s="79">
        <v>0</v>
      </c>
      <c r="M843" s="79" t="s">
        <v>514</v>
      </c>
      <c r="N843" s="79" t="s">
        <v>452</v>
      </c>
      <c r="O843" s="79" t="s">
        <v>452</v>
      </c>
      <c r="P843" s="79" t="s">
        <v>452</v>
      </c>
      <c r="Q843" s="79" t="s">
        <v>452</v>
      </c>
    </row>
    <row r="844" spans="1:17">
      <c r="A844" s="172">
        <f t="shared" si="13"/>
        <v>841</v>
      </c>
      <c r="B844" s="80" t="s">
        <v>1633</v>
      </c>
      <c r="C844" s="80" t="s">
        <v>511</v>
      </c>
      <c r="F844" s="80" t="s">
        <v>513</v>
      </c>
      <c r="H844" s="80" t="s">
        <v>449</v>
      </c>
      <c r="I844" s="80" t="s">
        <v>450</v>
      </c>
      <c r="J844" s="79">
        <v>2</v>
      </c>
      <c r="K844" s="79">
        <v>0</v>
      </c>
      <c r="L844" s="79">
        <v>0</v>
      </c>
      <c r="M844" s="79" t="s">
        <v>514</v>
      </c>
      <c r="N844" s="79" t="s">
        <v>452</v>
      </c>
      <c r="Q844" s="79" t="s">
        <v>452</v>
      </c>
    </row>
    <row r="845" spans="1:17">
      <c r="A845" s="172">
        <f t="shared" si="13"/>
        <v>842</v>
      </c>
      <c r="B845" s="80" t="s">
        <v>1634</v>
      </c>
      <c r="C845" s="80" t="s">
        <v>511</v>
      </c>
      <c r="F845" s="80" t="s">
        <v>513</v>
      </c>
      <c r="H845" s="80" t="s">
        <v>449</v>
      </c>
      <c r="I845" s="80" t="s">
        <v>450</v>
      </c>
      <c r="J845" s="79">
        <v>2</v>
      </c>
      <c r="K845" s="79">
        <v>0</v>
      </c>
      <c r="L845" s="79">
        <v>0</v>
      </c>
      <c r="M845" s="79" t="s">
        <v>514</v>
      </c>
      <c r="N845" s="79" t="s">
        <v>452</v>
      </c>
      <c r="Q845" s="79" t="s">
        <v>452</v>
      </c>
    </row>
    <row r="846" spans="1:17">
      <c r="A846" s="172">
        <f t="shared" si="13"/>
        <v>843</v>
      </c>
      <c r="B846" s="80" t="s">
        <v>1635</v>
      </c>
      <c r="C846" s="80" t="s">
        <v>511</v>
      </c>
      <c r="F846" s="80" t="s">
        <v>513</v>
      </c>
      <c r="H846" s="80" t="s">
        <v>449</v>
      </c>
      <c r="I846" s="80" t="s">
        <v>450</v>
      </c>
      <c r="J846" s="79">
        <v>2</v>
      </c>
      <c r="K846" s="79">
        <v>0</v>
      </c>
      <c r="L846" s="79">
        <v>0</v>
      </c>
      <c r="M846" s="79" t="s">
        <v>514</v>
      </c>
      <c r="N846" s="79" t="s">
        <v>452</v>
      </c>
      <c r="Q846" s="79" t="s">
        <v>452</v>
      </c>
    </row>
    <row r="847" spans="1:17">
      <c r="A847" s="172">
        <f t="shared" si="13"/>
        <v>844</v>
      </c>
      <c r="B847" s="80" t="s">
        <v>1636</v>
      </c>
      <c r="C847" s="80" t="s">
        <v>511</v>
      </c>
      <c r="F847" s="80" t="s">
        <v>513</v>
      </c>
      <c r="H847" s="80" t="s">
        <v>449</v>
      </c>
      <c r="I847" s="80" t="s">
        <v>450</v>
      </c>
      <c r="J847" s="79">
        <v>5</v>
      </c>
      <c r="K847" s="79">
        <v>0</v>
      </c>
      <c r="L847" s="79">
        <v>0</v>
      </c>
      <c r="M847" s="79" t="s">
        <v>514</v>
      </c>
      <c r="N847" s="79" t="s">
        <v>452</v>
      </c>
      <c r="Q847" s="79" t="s">
        <v>452</v>
      </c>
    </row>
    <row r="848" spans="1:17">
      <c r="A848" s="172">
        <f t="shared" si="13"/>
        <v>845</v>
      </c>
      <c r="B848" s="80" t="s">
        <v>1637</v>
      </c>
      <c r="C848" s="80" t="s">
        <v>511</v>
      </c>
      <c r="F848" s="80" t="s">
        <v>513</v>
      </c>
      <c r="G848" s="80" t="s">
        <v>456</v>
      </c>
      <c r="H848" s="80">
        <v>0</v>
      </c>
      <c r="I848" s="80" t="s">
        <v>456</v>
      </c>
      <c r="J848" s="79">
        <v>12</v>
      </c>
      <c r="K848" s="79">
        <v>2</v>
      </c>
      <c r="L848" s="79">
        <v>0</v>
      </c>
      <c r="M848" s="79" t="s">
        <v>514</v>
      </c>
      <c r="N848" s="79" t="s">
        <v>452</v>
      </c>
      <c r="Q848" s="79" t="s">
        <v>452</v>
      </c>
    </row>
    <row r="849" spans="1:17">
      <c r="A849" s="172">
        <f t="shared" si="13"/>
        <v>846</v>
      </c>
      <c r="B849" s="80" t="s">
        <v>1638</v>
      </c>
      <c r="C849" s="80" t="s">
        <v>511</v>
      </c>
      <c r="E849" s="116" t="s">
        <v>1639</v>
      </c>
      <c r="F849" s="80" t="s">
        <v>513</v>
      </c>
      <c r="H849" s="80" t="s">
        <v>449</v>
      </c>
      <c r="I849" s="80" t="s">
        <v>450</v>
      </c>
      <c r="J849" s="79">
        <v>20</v>
      </c>
      <c r="K849" s="79">
        <v>0</v>
      </c>
      <c r="L849" s="79">
        <v>0</v>
      </c>
      <c r="M849" s="79" t="s">
        <v>514</v>
      </c>
      <c r="N849" s="79" t="s">
        <v>452</v>
      </c>
      <c r="Q849" s="79" t="s">
        <v>452</v>
      </c>
    </row>
    <row r="850" spans="1:17">
      <c r="A850" s="172">
        <f t="shared" si="13"/>
        <v>847</v>
      </c>
      <c r="B850" s="80" t="s">
        <v>1640</v>
      </c>
      <c r="C850" s="80" t="s">
        <v>511</v>
      </c>
      <c r="F850" s="80" t="s">
        <v>513</v>
      </c>
      <c r="H850" s="80" t="s">
        <v>449</v>
      </c>
      <c r="I850" s="80" t="s">
        <v>450</v>
      </c>
      <c r="J850" s="79">
        <v>4</v>
      </c>
      <c r="K850" s="79">
        <v>0</v>
      </c>
      <c r="L850" s="79">
        <v>10</v>
      </c>
      <c r="M850" s="79" t="s">
        <v>514</v>
      </c>
      <c r="N850" s="79" t="s">
        <v>452</v>
      </c>
      <c r="Q850" s="79" t="s">
        <v>452</v>
      </c>
    </row>
    <row r="851" spans="1:17">
      <c r="A851" s="172">
        <f t="shared" si="13"/>
        <v>848</v>
      </c>
      <c r="B851" s="80" t="s">
        <v>1641</v>
      </c>
      <c r="C851" s="80" t="s">
        <v>511</v>
      </c>
      <c r="F851" s="80" t="s">
        <v>513</v>
      </c>
      <c r="G851" s="80" t="s">
        <v>468</v>
      </c>
      <c r="H851" s="80" t="s">
        <v>449</v>
      </c>
      <c r="I851" s="80" t="s">
        <v>450</v>
      </c>
      <c r="J851" s="79">
        <v>1</v>
      </c>
      <c r="K851" s="79">
        <v>0</v>
      </c>
      <c r="L851" s="79">
        <v>0</v>
      </c>
      <c r="M851" s="79" t="s">
        <v>514</v>
      </c>
      <c r="N851" s="79" t="s">
        <v>452</v>
      </c>
      <c r="Q851" s="79" t="s">
        <v>452</v>
      </c>
    </row>
    <row r="852" spans="1:17">
      <c r="A852" s="172">
        <f t="shared" si="13"/>
        <v>849</v>
      </c>
      <c r="B852" s="80" t="s">
        <v>1642</v>
      </c>
      <c r="C852" s="80" t="s">
        <v>511</v>
      </c>
      <c r="F852" s="80" t="s">
        <v>513</v>
      </c>
      <c r="G852" s="80" t="s">
        <v>468</v>
      </c>
      <c r="H852" s="80" t="s">
        <v>449</v>
      </c>
      <c r="I852" s="80" t="s">
        <v>450</v>
      </c>
      <c r="J852" s="79">
        <v>1</v>
      </c>
      <c r="K852" s="79">
        <v>0</v>
      </c>
      <c r="L852" s="79">
        <v>0</v>
      </c>
      <c r="M852" s="79" t="s">
        <v>514</v>
      </c>
      <c r="N852" s="79" t="s">
        <v>452</v>
      </c>
      <c r="Q852" s="79" t="s">
        <v>452</v>
      </c>
    </row>
    <row r="853" spans="1:17">
      <c r="A853" s="172">
        <f t="shared" si="13"/>
        <v>850</v>
      </c>
      <c r="B853" s="80" t="s">
        <v>1643</v>
      </c>
      <c r="C853" s="80" t="s">
        <v>511</v>
      </c>
      <c r="F853" s="80" t="s">
        <v>513</v>
      </c>
      <c r="G853" s="80" t="s">
        <v>468</v>
      </c>
      <c r="H853" s="80" t="s">
        <v>449</v>
      </c>
      <c r="I853" s="80" t="s">
        <v>450</v>
      </c>
      <c r="J853" s="79">
        <v>1</v>
      </c>
      <c r="K853" s="79">
        <v>0</v>
      </c>
      <c r="L853" s="79">
        <v>0</v>
      </c>
      <c r="M853" s="79" t="s">
        <v>514</v>
      </c>
      <c r="N853" s="79" t="s">
        <v>452</v>
      </c>
      <c r="Q853" s="79" t="s">
        <v>452</v>
      </c>
    </row>
    <row r="854" spans="1:17">
      <c r="A854" s="172">
        <f t="shared" si="13"/>
        <v>851</v>
      </c>
      <c r="B854" s="80" t="s">
        <v>1641</v>
      </c>
      <c r="C854" s="80" t="s">
        <v>511</v>
      </c>
      <c r="F854" s="80" t="s">
        <v>513</v>
      </c>
      <c r="G854" s="80" t="s">
        <v>468</v>
      </c>
      <c r="H854" s="80" t="s">
        <v>449</v>
      </c>
      <c r="I854" s="80" t="s">
        <v>450</v>
      </c>
      <c r="J854" s="79">
        <v>1</v>
      </c>
      <c r="K854" s="79">
        <v>0</v>
      </c>
      <c r="L854" s="79">
        <v>0</v>
      </c>
      <c r="M854" s="79" t="s">
        <v>514</v>
      </c>
      <c r="N854" s="79" t="s">
        <v>452</v>
      </c>
      <c r="Q854" s="79" t="s">
        <v>452</v>
      </c>
    </row>
    <row r="855" spans="1:17" ht="26.4">
      <c r="A855" s="172">
        <f t="shared" si="13"/>
        <v>852</v>
      </c>
      <c r="B855" s="80" t="s">
        <v>1644</v>
      </c>
      <c r="C855" s="80" t="s">
        <v>1645</v>
      </c>
      <c r="F855" s="80" t="s">
        <v>468</v>
      </c>
      <c r="G855" s="80" t="s">
        <v>468</v>
      </c>
      <c r="H855" s="80" t="s">
        <v>449</v>
      </c>
      <c r="I855" s="80" t="s">
        <v>450</v>
      </c>
      <c r="J855" s="79">
        <v>1</v>
      </c>
      <c r="K855" s="79">
        <v>0</v>
      </c>
      <c r="L855" s="79">
        <v>0</v>
      </c>
      <c r="M855" s="79" t="s">
        <v>514</v>
      </c>
      <c r="N855" s="79" t="s">
        <v>452</v>
      </c>
      <c r="Q855" s="79" t="s">
        <v>452</v>
      </c>
    </row>
    <row r="856" spans="1:17">
      <c r="A856" s="172">
        <f t="shared" si="13"/>
        <v>853</v>
      </c>
      <c r="B856" s="80" t="s">
        <v>1646</v>
      </c>
      <c r="C856" s="80" t="s">
        <v>1647</v>
      </c>
      <c r="D856" s="80" t="s">
        <v>1646</v>
      </c>
      <c r="E856" s="116" t="s">
        <v>1648</v>
      </c>
      <c r="F856" s="80" t="s">
        <v>629</v>
      </c>
      <c r="G856" s="80" t="s">
        <v>459</v>
      </c>
      <c r="H856" s="80" t="s">
        <v>449</v>
      </c>
      <c r="I856" s="80" t="s">
        <v>450</v>
      </c>
      <c r="J856" s="79">
        <v>1</v>
      </c>
      <c r="K856" s="79">
        <v>0</v>
      </c>
      <c r="L856" s="79">
        <v>0</v>
      </c>
      <c r="M856" s="79" t="s">
        <v>451</v>
      </c>
      <c r="N856" s="79" t="s">
        <v>452</v>
      </c>
      <c r="O856" s="79" t="s">
        <v>453</v>
      </c>
      <c r="P856" s="79" t="s">
        <v>453</v>
      </c>
      <c r="Q856" s="79" t="s">
        <v>453</v>
      </c>
    </row>
    <row r="857" spans="1:17">
      <c r="A857" s="172">
        <f t="shared" si="13"/>
        <v>854</v>
      </c>
      <c r="B857" s="80" t="s">
        <v>1649</v>
      </c>
      <c r="C857" s="80" t="s">
        <v>511</v>
      </c>
      <c r="F857" s="80" t="s">
        <v>513</v>
      </c>
      <c r="G857" s="80" t="s">
        <v>459</v>
      </c>
      <c r="H857" s="80" t="s">
        <v>449</v>
      </c>
      <c r="I857" s="80" t="s">
        <v>450</v>
      </c>
      <c r="J857" s="79">
        <v>2</v>
      </c>
      <c r="K857" s="79">
        <v>0</v>
      </c>
      <c r="L857" s="79">
        <v>0</v>
      </c>
      <c r="M857" s="79" t="s">
        <v>514</v>
      </c>
      <c r="N857" s="79" t="s">
        <v>452</v>
      </c>
      <c r="Q857" s="79" t="s">
        <v>452</v>
      </c>
    </row>
    <row r="858" spans="1:17">
      <c r="A858" s="172">
        <f t="shared" ref="A858:A880" si="14">A857+1</f>
        <v>855</v>
      </c>
      <c r="B858" s="80" t="s">
        <v>1650</v>
      </c>
      <c r="C858" s="80" t="s">
        <v>511</v>
      </c>
      <c r="E858" s="116" t="s">
        <v>1651</v>
      </c>
      <c r="F858" s="80" t="s">
        <v>513</v>
      </c>
      <c r="G858" s="80" t="s">
        <v>468</v>
      </c>
    </row>
    <row r="859" spans="1:17">
      <c r="A859" s="172">
        <f t="shared" si="14"/>
        <v>856</v>
      </c>
      <c r="B859" s="80" t="s">
        <v>1652</v>
      </c>
    </row>
    <row r="860" spans="1:17">
      <c r="A860" s="172">
        <f t="shared" si="14"/>
        <v>857</v>
      </c>
      <c r="B860" s="80" t="s">
        <v>1653</v>
      </c>
      <c r="E860" s="80" t="s">
        <v>1654</v>
      </c>
      <c r="F860" s="80" t="s">
        <v>1655</v>
      </c>
      <c r="G860" s="80" t="s">
        <v>468</v>
      </c>
      <c r="H860" s="80" t="s">
        <v>449</v>
      </c>
      <c r="I860" s="80" t="s">
        <v>450</v>
      </c>
    </row>
    <row r="861" spans="1:17">
      <c r="A861" s="172">
        <f t="shared" si="14"/>
        <v>858</v>
      </c>
      <c r="B861" s="80" t="s">
        <v>1656</v>
      </c>
      <c r="C861" s="80" t="s">
        <v>2498</v>
      </c>
    </row>
    <row r="862" spans="1:17">
      <c r="A862" s="172">
        <f t="shared" si="14"/>
        <v>859</v>
      </c>
      <c r="B862" s="80" t="s">
        <v>1375</v>
      </c>
      <c r="C862" s="80" t="s">
        <v>1657</v>
      </c>
      <c r="E862" s="116" t="s">
        <v>1658</v>
      </c>
      <c r="F862" s="80" t="s">
        <v>503</v>
      </c>
      <c r="G862" s="80" t="s">
        <v>456</v>
      </c>
      <c r="H862" s="80">
        <v>0</v>
      </c>
      <c r="I862" s="80" t="s">
        <v>456</v>
      </c>
      <c r="J862" s="79">
        <v>10</v>
      </c>
      <c r="K862" s="79">
        <v>0</v>
      </c>
      <c r="L862" s="79">
        <v>0</v>
      </c>
      <c r="M862" s="79" t="s">
        <v>451</v>
      </c>
      <c r="N862" s="79" t="s">
        <v>452</v>
      </c>
      <c r="O862" s="79" t="s">
        <v>452</v>
      </c>
      <c r="P862" s="79" t="s">
        <v>453</v>
      </c>
      <c r="Q862" s="79" t="s">
        <v>453</v>
      </c>
    </row>
    <row r="863" spans="1:17">
      <c r="A863" s="172">
        <f t="shared" si="14"/>
        <v>860</v>
      </c>
      <c r="B863" s="80" t="s">
        <v>1659</v>
      </c>
      <c r="C863" s="80" t="s">
        <v>1660</v>
      </c>
      <c r="D863" s="80" t="s">
        <v>1661</v>
      </c>
      <c r="E863" s="116" t="s">
        <v>1662</v>
      </c>
      <c r="F863" s="80" t="s">
        <v>503</v>
      </c>
      <c r="G863" s="80" t="s">
        <v>456</v>
      </c>
      <c r="H863" s="80">
        <v>0</v>
      </c>
      <c r="I863" s="80" t="s">
        <v>456</v>
      </c>
      <c r="J863" s="79">
        <v>10</v>
      </c>
      <c r="K863" s="79">
        <v>0</v>
      </c>
      <c r="L863" s="79">
        <v>0</v>
      </c>
      <c r="M863" s="79" t="s">
        <v>451</v>
      </c>
      <c r="N863" s="79" t="s">
        <v>452</v>
      </c>
      <c r="O863" s="79" t="s">
        <v>453</v>
      </c>
      <c r="P863" s="79" t="s">
        <v>453</v>
      </c>
      <c r="Q863" s="79" t="s">
        <v>453</v>
      </c>
    </row>
    <row r="864" spans="1:17">
      <c r="A864" s="172">
        <f t="shared" si="14"/>
        <v>861</v>
      </c>
      <c r="B864" s="80" t="s">
        <v>1663</v>
      </c>
      <c r="C864" s="80" t="s">
        <v>1664</v>
      </c>
      <c r="E864" s="116" t="s">
        <v>1663</v>
      </c>
      <c r="G864" s="80" t="s">
        <v>1665</v>
      </c>
    </row>
    <row r="865" spans="1:17">
      <c r="A865" s="172">
        <f t="shared" si="14"/>
        <v>862</v>
      </c>
      <c r="B865" s="80" t="s">
        <v>1666</v>
      </c>
      <c r="E865" s="116" t="s">
        <v>1667</v>
      </c>
      <c r="F865" s="80" t="s">
        <v>513</v>
      </c>
      <c r="G865" s="80" t="s">
        <v>468</v>
      </c>
    </row>
    <row r="866" spans="1:17">
      <c r="A866" s="172">
        <f t="shared" si="14"/>
        <v>863</v>
      </c>
      <c r="E866" s="116" t="s">
        <v>1668</v>
      </c>
    </row>
    <row r="867" spans="1:17">
      <c r="A867" s="172">
        <f t="shared" si="14"/>
        <v>864</v>
      </c>
    </row>
    <row r="868" spans="1:17">
      <c r="A868" s="172">
        <f t="shared" si="14"/>
        <v>865</v>
      </c>
      <c r="E868" s="116" t="s">
        <v>1669</v>
      </c>
    </row>
    <row r="869" spans="1:17">
      <c r="A869" s="172">
        <f t="shared" si="14"/>
        <v>866</v>
      </c>
    </row>
    <row r="870" spans="1:17" ht="57.6">
      <c r="A870" s="172">
        <f t="shared" si="14"/>
        <v>867</v>
      </c>
      <c r="B870" s="80" t="s">
        <v>1670</v>
      </c>
      <c r="C870" s="114" t="s">
        <v>392</v>
      </c>
      <c r="E870" s="116" t="s">
        <v>1670</v>
      </c>
      <c r="F870" s="80" t="s">
        <v>1655</v>
      </c>
      <c r="G870" s="80" t="s">
        <v>468</v>
      </c>
    </row>
    <row r="871" spans="1:17" ht="57.6">
      <c r="A871" s="172">
        <f t="shared" si="14"/>
        <v>868</v>
      </c>
      <c r="B871" s="80" t="s">
        <v>1671</v>
      </c>
      <c r="C871" s="114" t="s">
        <v>392</v>
      </c>
      <c r="E871" s="116" t="s">
        <v>1671</v>
      </c>
      <c r="F871" s="80" t="s">
        <v>1655</v>
      </c>
      <c r="G871" s="80" t="s">
        <v>468</v>
      </c>
    </row>
    <row r="872" spans="1:17" ht="57.6">
      <c r="A872" s="172">
        <f t="shared" si="14"/>
        <v>869</v>
      </c>
      <c r="B872" s="80" t="s">
        <v>1672</v>
      </c>
      <c r="C872" s="114" t="s">
        <v>392</v>
      </c>
      <c r="E872" s="116" t="s">
        <v>1672</v>
      </c>
      <c r="F872" s="80" t="s">
        <v>1655</v>
      </c>
      <c r="G872" s="80" t="s">
        <v>468</v>
      </c>
    </row>
    <row r="873" spans="1:17" ht="57.6">
      <c r="A873" s="172">
        <f t="shared" si="14"/>
        <v>870</v>
      </c>
      <c r="B873" s="80" t="s">
        <v>1673</v>
      </c>
      <c r="C873" s="114" t="s">
        <v>392</v>
      </c>
      <c r="E873" s="116" t="s">
        <v>1673</v>
      </c>
      <c r="F873" s="80" t="s">
        <v>1655</v>
      </c>
      <c r="G873" s="80" t="s">
        <v>468</v>
      </c>
    </row>
    <row r="874" spans="1:17">
      <c r="A874" s="172">
        <f t="shared" si="14"/>
        <v>871</v>
      </c>
      <c r="B874" s="80" t="s">
        <v>2508</v>
      </c>
      <c r="C874" s="80" t="s">
        <v>2509</v>
      </c>
      <c r="E874" s="80" t="s">
        <v>2494</v>
      </c>
      <c r="F874" s="80" t="s">
        <v>503</v>
      </c>
      <c r="G874" s="80" t="s">
        <v>456</v>
      </c>
      <c r="H874" s="80">
        <v>0</v>
      </c>
      <c r="I874" s="80" t="s">
        <v>456</v>
      </c>
      <c r="J874" s="79">
        <v>10</v>
      </c>
      <c r="K874" s="79">
        <v>0</v>
      </c>
      <c r="L874" s="79">
        <v>0</v>
      </c>
      <c r="M874" s="79" t="s">
        <v>451</v>
      </c>
      <c r="N874" s="79" t="s">
        <v>452</v>
      </c>
      <c r="O874" s="79" t="s">
        <v>453</v>
      </c>
      <c r="P874" s="79" t="s">
        <v>453</v>
      </c>
      <c r="Q874" s="79" t="s">
        <v>453</v>
      </c>
    </row>
    <row r="875" spans="1:17">
      <c r="A875" s="172">
        <f t="shared" si="14"/>
        <v>872</v>
      </c>
      <c r="B875" s="80" t="s">
        <v>2505</v>
      </c>
      <c r="C875" s="80" t="s">
        <v>2501</v>
      </c>
      <c r="E875" s="80" t="s">
        <v>2435</v>
      </c>
      <c r="F875" s="80" t="s">
        <v>503</v>
      </c>
      <c r="H875" s="80" t="s">
        <v>449</v>
      </c>
      <c r="I875" s="80" t="s">
        <v>450</v>
      </c>
      <c r="J875" s="79">
        <v>50</v>
      </c>
      <c r="K875" s="79">
        <v>0</v>
      </c>
      <c r="L875" s="79">
        <v>0</v>
      </c>
      <c r="M875" s="79" t="s">
        <v>451</v>
      </c>
      <c r="N875" s="79" t="s">
        <v>452</v>
      </c>
      <c r="O875" s="79" t="s">
        <v>453</v>
      </c>
      <c r="P875" s="79" t="s">
        <v>453</v>
      </c>
      <c r="Q875" s="79" t="s">
        <v>453</v>
      </c>
    </row>
    <row r="876" spans="1:17">
      <c r="A876" s="172">
        <f t="shared" si="14"/>
        <v>873</v>
      </c>
      <c r="B876" s="80" t="s">
        <v>2506</v>
      </c>
      <c r="C876" s="80" t="s">
        <v>2502</v>
      </c>
      <c r="E876" s="80" t="s">
        <v>2437</v>
      </c>
      <c r="F876" s="80" t="s">
        <v>503</v>
      </c>
      <c r="H876" s="80" t="s">
        <v>449</v>
      </c>
      <c r="I876" s="80" t="s">
        <v>450</v>
      </c>
      <c r="J876" s="79">
        <v>50</v>
      </c>
      <c r="K876" s="79">
        <v>0</v>
      </c>
      <c r="L876" s="79">
        <v>0</v>
      </c>
      <c r="M876" s="79" t="s">
        <v>451</v>
      </c>
      <c r="N876" s="79" t="s">
        <v>452</v>
      </c>
      <c r="O876" s="79" t="s">
        <v>453</v>
      </c>
      <c r="P876" s="79" t="s">
        <v>453</v>
      </c>
      <c r="Q876" s="79" t="s">
        <v>453</v>
      </c>
    </row>
    <row r="877" spans="1:17">
      <c r="A877" s="172">
        <f t="shared" si="14"/>
        <v>874</v>
      </c>
      <c r="B877" s="80" t="s">
        <v>2507</v>
      </c>
      <c r="C877" s="80" t="s">
        <v>2503</v>
      </c>
      <c r="E877" s="80" t="s">
        <v>2439</v>
      </c>
      <c r="F877" s="80" t="s">
        <v>503</v>
      </c>
      <c r="H877" s="80" t="s">
        <v>449</v>
      </c>
      <c r="I877" s="80" t="s">
        <v>450</v>
      </c>
      <c r="J877" s="79">
        <v>50</v>
      </c>
      <c r="K877" s="79">
        <v>0</v>
      </c>
      <c r="L877" s="79">
        <v>0</v>
      </c>
      <c r="M877" s="79" t="s">
        <v>451</v>
      </c>
      <c r="N877" s="79" t="s">
        <v>452</v>
      </c>
      <c r="O877" s="79" t="s">
        <v>453</v>
      </c>
      <c r="P877" s="79" t="s">
        <v>453</v>
      </c>
      <c r="Q877" s="79" t="s">
        <v>453</v>
      </c>
    </row>
    <row r="878" spans="1:17">
      <c r="A878" s="172">
        <f t="shared" si="14"/>
        <v>875</v>
      </c>
      <c r="B878" s="80" t="s">
        <v>2499</v>
      </c>
      <c r="C878" s="80" t="s">
        <v>2504</v>
      </c>
      <c r="E878" s="80" t="s">
        <v>2441</v>
      </c>
      <c r="F878" s="80" t="s">
        <v>503</v>
      </c>
      <c r="H878" s="80" t="s">
        <v>449</v>
      </c>
      <c r="I878" s="80" t="s">
        <v>450</v>
      </c>
      <c r="J878" s="79">
        <v>50</v>
      </c>
      <c r="K878" s="79">
        <v>0</v>
      </c>
      <c r="L878" s="79">
        <v>0</v>
      </c>
      <c r="M878" s="79" t="s">
        <v>451</v>
      </c>
      <c r="N878" s="79" t="s">
        <v>452</v>
      </c>
      <c r="O878" s="79" t="s">
        <v>453</v>
      </c>
      <c r="P878" s="79" t="s">
        <v>453</v>
      </c>
      <c r="Q878" s="79" t="s">
        <v>453</v>
      </c>
    </row>
    <row r="879" spans="1:17">
      <c r="A879" s="172">
        <f t="shared" si="14"/>
        <v>876</v>
      </c>
      <c r="B879" s="80" t="s">
        <v>2510</v>
      </c>
      <c r="C879" s="80" t="s">
        <v>2510</v>
      </c>
      <c r="E879" s="80" t="s">
        <v>2487</v>
      </c>
      <c r="F879" s="80" t="s">
        <v>503</v>
      </c>
      <c r="G879" s="80" t="s">
        <v>456</v>
      </c>
      <c r="H879" s="80">
        <v>0</v>
      </c>
      <c r="I879" s="80" t="s">
        <v>456</v>
      </c>
      <c r="J879" s="79">
        <v>10</v>
      </c>
      <c r="K879" s="79">
        <v>0</v>
      </c>
      <c r="L879" s="79">
        <v>0</v>
      </c>
      <c r="M879" s="79" t="s">
        <v>451</v>
      </c>
      <c r="N879" s="79" t="s">
        <v>452</v>
      </c>
      <c r="O879" s="79" t="s">
        <v>452</v>
      </c>
      <c r="P879" s="79" t="s">
        <v>453</v>
      </c>
      <c r="Q879" s="79" t="s">
        <v>453</v>
      </c>
    </row>
    <row r="880" spans="1:17">
      <c r="A880" s="172">
        <f t="shared" si="14"/>
        <v>877</v>
      </c>
      <c r="B880" s="80" t="s">
        <v>2490</v>
      </c>
      <c r="C880" s="80" t="s">
        <v>2511</v>
      </c>
      <c r="E880" s="80" t="s">
        <v>2490</v>
      </c>
      <c r="F880" s="80" t="s">
        <v>503</v>
      </c>
      <c r="G880" s="80" t="s">
        <v>468</v>
      </c>
      <c r="H880" s="80" t="s">
        <v>449</v>
      </c>
      <c r="I880" s="80" t="s">
        <v>450</v>
      </c>
      <c r="J880" s="79">
        <v>1</v>
      </c>
      <c r="K880" s="79">
        <v>0</v>
      </c>
      <c r="L880" s="79">
        <v>0</v>
      </c>
      <c r="M880" s="79" t="s">
        <v>514</v>
      </c>
      <c r="N880" s="79" t="s">
        <v>452</v>
      </c>
      <c r="Q880" s="79" t="s">
        <v>452</v>
      </c>
    </row>
  </sheetData>
  <autoFilter ref="A2:Q863" xr:uid="{00000000-0001-0000-0000-000000000000}"/>
  <mergeCells count="1">
    <mergeCell ref="A1:Q1"/>
  </mergeCells>
  <phoneticPr fontId="24" type="noConversion"/>
  <pageMargins left="0.7" right="0.7" top="0.75" bottom="0.75" header="0.3" footer="0.3"/>
  <pageSetup scale="35" fitToHeight="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5B12F-EAB0-4A0C-8C39-CE16285E8949}">
  <sheetPr>
    <tabColor rgb="FFFF0000"/>
    <pageSetUpPr fitToPage="1"/>
  </sheetPr>
  <dimension ref="A1:Q102"/>
  <sheetViews>
    <sheetView showGridLines="0" zoomScale="85" zoomScaleNormal="85" workbookViewId="0">
      <pane ySplit="2" topLeftCell="A3" activePane="bottomLeft" state="frozen"/>
      <selection activeCell="F1" sqref="F1"/>
      <selection pane="bottomLeft" activeCell="B6" sqref="B6"/>
    </sheetView>
  </sheetViews>
  <sheetFormatPr defaultColWidth="12.44140625" defaultRowHeight="13.2"/>
  <cols>
    <col min="1" max="1" width="5.77734375" style="79" customWidth="1"/>
    <col min="2" max="2" width="35" style="79" customWidth="1"/>
    <col min="3" max="3" width="46.77734375" style="79" customWidth="1"/>
    <col min="4" max="4" width="37.5546875" style="79" customWidth="1"/>
    <col min="5" max="5" width="32.44140625" style="79" customWidth="1"/>
    <col min="6" max="6" width="17" style="79" customWidth="1"/>
    <col min="7" max="7" width="27.77734375" style="79" customWidth="1"/>
    <col min="8" max="9" width="12.44140625" style="79"/>
    <col min="10" max="12" width="11.5546875" style="79" customWidth="1"/>
    <col min="13" max="13" width="19.44140625" style="79" customWidth="1"/>
    <col min="14" max="14" width="12.44140625" style="79"/>
    <col min="15" max="17" width="12.44140625" style="79" bestFit="1" customWidth="1"/>
    <col min="18" max="16384" width="12.44140625" style="77"/>
  </cols>
  <sheetData>
    <row r="1" spans="1:17" ht="38.25" customHeight="1">
      <c r="A1" s="214" t="s">
        <v>428</v>
      </c>
      <c r="B1" s="215"/>
      <c r="C1" s="215"/>
      <c r="D1" s="215"/>
      <c r="E1" s="215"/>
      <c r="F1" s="215"/>
      <c r="G1" s="215"/>
      <c r="H1" s="215"/>
      <c r="I1" s="215"/>
      <c r="J1" s="215"/>
      <c r="K1" s="215"/>
      <c r="L1" s="215"/>
      <c r="M1" s="215"/>
      <c r="N1" s="215"/>
      <c r="O1" s="215"/>
      <c r="P1" s="215"/>
      <c r="Q1" s="215"/>
    </row>
    <row r="2" spans="1:17" ht="35.25" customHeight="1">
      <c r="A2" s="78" t="s">
        <v>28</v>
      </c>
      <c r="B2" s="78" t="s">
        <v>429</v>
      </c>
      <c r="C2" s="78" t="s">
        <v>430</v>
      </c>
      <c r="D2" s="78" t="s">
        <v>431</v>
      </c>
      <c r="E2" s="78" t="s">
        <v>432</v>
      </c>
      <c r="F2" s="78" t="s">
        <v>433</v>
      </c>
      <c r="G2" s="78" t="s">
        <v>434</v>
      </c>
      <c r="H2" s="78" t="s">
        <v>435</v>
      </c>
      <c r="I2" s="78" t="s">
        <v>436</v>
      </c>
      <c r="J2" s="78" t="s">
        <v>437</v>
      </c>
      <c r="K2" s="78" t="s">
        <v>438</v>
      </c>
      <c r="L2" s="78" t="s">
        <v>439</v>
      </c>
      <c r="M2" s="78" t="s">
        <v>440</v>
      </c>
      <c r="N2" s="78" t="s">
        <v>441</v>
      </c>
      <c r="O2" s="78" t="s">
        <v>442</v>
      </c>
      <c r="P2" s="78" t="s">
        <v>443</v>
      </c>
      <c r="Q2" s="78" t="s">
        <v>444</v>
      </c>
    </row>
    <row r="3" spans="1:17" ht="39.6">
      <c r="A3" s="79">
        <v>1</v>
      </c>
      <c r="B3" s="80" t="s">
        <v>445</v>
      </c>
      <c r="C3" s="80" t="s">
        <v>446</v>
      </c>
      <c r="D3" s="80"/>
      <c r="E3" s="80"/>
      <c r="F3" s="79" t="s">
        <v>447</v>
      </c>
      <c r="G3" s="79" t="s">
        <v>448</v>
      </c>
      <c r="H3" s="79" t="s">
        <v>449</v>
      </c>
      <c r="I3" s="79" t="s">
        <v>450</v>
      </c>
      <c r="J3" s="79">
        <v>1</v>
      </c>
      <c r="K3" s="79">
        <v>0</v>
      </c>
      <c r="L3" s="79">
        <v>0</v>
      </c>
      <c r="M3" s="79" t="s">
        <v>451</v>
      </c>
      <c r="N3" s="79" t="s">
        <v>452</v>
      </c>
      <c r="O3" s="79" t="s">
        <v>453</v>
      </c>
      <c r="P3" s="79" t="s">
        <v>453</v>
      </c>
      <c r="Q3" s="79" t="s">
        <v>453</v>
      </c>
    </row>
    <row r="4" spans="1:17">
      <c r="A4" s="79">
        <f>+A3+1</f>
        <v>2</v>
      </c>
      <c r="B4" s="80" t="s">
        <v>460</v>
      </c>
      <c r="C4" s="80" t="s">
        <v>461</v>
      </c>
      <c r="D4" s="80"/>
      <c r="E4" s="80" t="s">
        <v>462</v>
      </c>
      <c r="F4" s="79" t="s">
        <v>447</v>
      </c>
      <c r="G4" s="79" t="s">
        <v>463</v>
      </c>
      <c r="H4" s="79" t="s">
        <v>449</v>
      </c>
      <c r="I4" s="79" t="s">
        <v>456</v>
      </c>
      <c r="J4" s="79">
        <v>1</v>
      </c>
      <c r="K4" s="79">
        <v>0</v>
      </c>
      <c r="L4" s="79">
        <v>0</v>
      </c>
      <c r="M4" s="79" t="s">
        <v>451</v>
      </c>
      <c r="N4" s="79" t="s">
        <v>452</v>
      </c>
      <c r="O4" s="79" t="s">
        <v>453</v>
      </c>
      <c r="P4" s="79" t="s">
        <v>453</v>
      </c>
      <c r="Q4" s="79" t="s">
        <v>453</v>
      </c>
    </row>
    <row r="5" spans="1:17" ht="26.4">
      <c r="A5" s="79">
        <f t="shared" ref="A5:A68" si="0">+A4+1</f>
        <v>3</v>
      </c>
      <c r="B5" s="80" t="s">
        <v>340</v>
      </c>
      <c r="C5" s="80" t="s">
        <v>474</v>
      </c>
      <c r="D5" s="80"/>
      <c r="E5" s="80" t="s">
        <v>475</v>
      </c>
      <c r="F5" s="79" t="s">
        <v>447</v>
      </c>
      <c r="G5" s="79" t="s">
        <v>456</v>
      </c>
      <c r="H5" s="79" t="s">
        <v>476</v>
      </c>
      <c r="I5" s="79" t="s">
        <v>456</v>
      </c>
      <c r="J5" s="79">
        <v>3</v>
      </c>
      <c r="K5" s="79">
        <v>0</v>
      </c>
      <c r="L5" s="79">
        <v>0</v>
      </c>
      <c r="M5" s="79" t="s">
        <v>451</v>
      </c>
      <c r="N5" s="79" t="s">
        <v>452</v>
      </c>
      <c r="O5" s="79" t="s">
        <v>453</v>
      </c>
      <c r="P5" s="79" t="s">
        <v>453</v>
      </c>
      <c r="Q5" s="79" t="s">
        <v>453</v>
      </c>
    </row>
    <row r="6" spans="1:17">
      <c r="A6" s="79">
        <f t="shared" si="0"/>
        <v>4</v>
      </c>
      <c r="B6" s="80" t="s">
        <v>496</v>
      </c>
      <c r="C6" s="80" t="s">
        <v>497</v>
      </c>
      <c r="D6" s="80" t="s">
        <v>496</v>
      </c>
      <c r="E6" s="80" t="s">
        <v>498</v>
      </c>
      <c r="F6" s="79" t="s">
        <v>447</v>
      </c>
      <c r="G6" s="79" t="s">
        <v>468</v>
      </c>
      <c r="H6" s="79" t="s">
        <v>118</v>
      </c>
      <c r="I6" s="79" t="s">
        <v>450</v>
      </c>
      <c r="J6" s="79">
        <v>1</v>
      </c>
      <c r="K6" s="79">
        <v>0</v>
      </c>
      <c r="L6" s="79">
        <v>0</v>
      </c>
      <c r="M6" s="79" t="s">
        <v>451</v>
      </c>
      <c r="N6" s="79" t="s">
        <v>452</v>
      </c>
      <c r="O6" s="79" t="s">
        <v>453</v>
      </c>
      <c r="P6" s="79" t="s">
        <v>453</v>
      </c>
      <c r="Q6" s="79" t="s">
        <v>453</v>
      </c>
    </row>
    <row r="7" spans="1:17" ht="41.1" customHeight="1">
      <c r="A7" s="79">
        <f t="shared" si="0"/>
        <v>5</v>
      </c>
      <c r="B7" s="80" t="s">
        <v>510</v>
      </c>
      <c r="C7" s="80" t="s">
        <v>511</v>
      </c>
      <c r="D7" s="80" t="s">
        <v>510</v>
      </c>
      <c r="E7" s="80" t="s">
        <v>512</v>
      </c>
      <c r="F7" s="79" t="s">
        <v>513</v>
      </c>
      <c r="G7" s="79" t="s">
        <v>456</v>
      </c>
      <c r="H7" s="79">
        <v>0</v>
      </c>
      <c r="I7" s="79" t="s">
        <v>456</v>
      </c>
      <c r="J7" s="79">
        <v>3</v>
      </c>
      <c r="K7" s="79">
        <v>0</v>
      </c>
      <c r="L7" s="79">
        <v>0</v>
      </c>
      <c r="M7" s="79" t="s">
        <v>514</v>
      </c>
      <c r="N7" s="79" t="s">
        <v>452</v>
      </c>
      <c r="O7" s="79" t="s">
        <v>452</v>
      </c>
      <c r="P7" s="79" t="s">
        <v>452</v>
      </c>
      <c r="Q7" s="79" t="s">
        <v>452</v>
      </c>
    </row>
    <row r="8" spans="1:17" ht="26.4">
      <c r="A8" s="79">
        <f t="shared" si="0"/>
        <v>6</v>
      </c>
      <c r="B8" s="80" t="s">
        <v>515</v>
      </c>
      <c r="C8" s="80" t="s">
        <v>511</v>
      </c>
      <c r="D8" s="80" t="s">
        <v>515</v>
      </c>
      <c r="E8" s="80" t="s">
        <v>516</v>
      </c>
      <c r="F8" s="79" t="s">
        <v>513</v>
      </c>
      <c r="G8" s="79" t="s">
        <v>456</v>
      </c>
      <c r="H8" s="79">
        <v>0</v>
      </c>
      <c r="I8" s="79" t="s">
        <v>456</v>
      </c>
      <c r="J8" s="79">
        <v>12</v>
      </c>
      <c r="K8" s="79">
        <v>2</v>
      </c>
      <c r="L8" s="79">
        <v>0</v>
      </c>
      <c r="M8" s="79" t="s">
        <v>514</v>
      </c>
      <c r="N8" s="79" t="s">
        <v>452</v>
      </c>
      <c r="O8" s="79" t="s">
        <v>452</v>
      </c>
      <c r="P8" s="79" t="s">
        <v>452</v>
      </c>
      <c r="Q8" s="79" t="s">
        <v>452</v>
      </c>
    </row>
    <row r="9" spans="1:17" ht="26.4">
      <c r="A9" s="79">
        <f t="shared" si="0"/>
        <v>7</v>
      </c>
      <c r="B9" s="80" t="s">
        <v>517</v>
      </c>
      <c r="C9" s="80" t="s">
        <v>518</v>
      </c>
      <c r="D9" s="80"/>
      <c r="E9" s="80" t="s">
        <v>519</v>
      </c>
      <c r="F9" s="79" t="s">
        <v>503</v>
      </c>
      <c r="G9" s="79" t="s">
        <v>468</v>
      </c>
      <c r="H9" s="79" t="s">
        <v>118</v>
      </c>
      <c r="I9" s="79" t="s">
        <v>450</v>
      </c>
      <c r="J9" s="79">
        <v>1</v>
      </c>
      <c r="K9" s="79">
        <v>0</v>
      </c>
      <c r="L9" s="79">
        <v>0</v>
      </c>
      <c r="M9" s="79" t="s">
        <v>451</v>
      </c>
      <c r="N9" s="79" t="s">
        <v>452</v>
      </c>
      <c r="O9" s="79" t="s">
        <v>453</v>
      </c>
      <c r="P9" s="79" t="s">
        <v>453</v>
      </c>
      <c r="Q9" s="79" t="s">
        <v>453</v>
      </c>
    </row>
    <row r="10" spans="1:17" ht="26.4">
      <c r="A10" s="79">
        <f t="shared" si="0"/>
        <v>8</v>
      </c>
      <c r="B10" s="80" t="s">
        <v>520</v>
      </c>
      <c r="C10" s="80" t="s">
        <v>521</v>
      </c>
      <c r="D10" s="80"/>
      <c r="E10" s="80" t="s">
        <v>522</v>
      </c>
      <c r="F10" s="79" t="s">
        <v>503</v>
      </c>
      <c r="G10" s="79" t="s">
        <v>468</v>
      </c>
      <c r="H10" s="79" t="s">
        <v>118</v>
      </c>
      <c r="I10" s="79" t="s">
        <v>450</v>
      </c>
      <c r="J10" s="79">
        <v>1</v>
      </c>
      <c r="K10" s="79">
        <v>0</v>
      </c>
      <c r="L10" s="79">
        <v>0</v>
      </c>
      <c r="M10" s="79" t="s">
        <v>451</v>
      </c>
      <c r="N10" s="79" t="s">
        <v>452</v>
      </c>
      <c r="O10" s="79" t="s">
        <v>453</v>
      </c>
      <c r="P10" s="79" t="s">
        <v>453</v>
      </c>
      <c r="Q10" s="79" t="s">
        <v>453</v>
      </c>
    </row>
    <row r="11" spans="1:17" ht="26.4">
      <c r="A11" s="79">
        <f t="shared" si="0"/>
        <v>9</v>
      </c>
      <c r="B11" s="80" t="s">
        <v>523</v>
      </c>
      <c r="C11" s="80" t="s">
        <v>511</v>
      </c>
      <c r="D11" s="80" t="s">
        <v>523</v>
      </c>
      <c r="E11" s="80" t="s">
        <v>524</v>
      </c>
      <c r="F11" s="79" t="s">
        <v>513</v>
      </c>
      <c r="G11" s="79" t="s">
        <v>456</v>
      </c>
      <c r="H11" s="79">
        <v>0</v>
      </c>
      <c r="I11" s="79" t="s">
        <v>456</v>
      </c>
      <c r="J11" s="79">
        <v>12</v>
      </c>
      <c r="K11" s="79">
        <v>2</v>
      </c>
      <c r="L11" s="79">
        <v>0</v>
      </c>
      <c r="M11" s="79" t="s">
        <v>514</v>
      </c>
      <c r="N11" s="79" t="s">
        <v>452</v>
      </c>
      <c r="O11" s="79" t="s">
        <v>452</v>
      </c>
      <c r="P11" s="79" t="s">
        <v>452</v>
      </c>
      <c r="Q11" s="79" t="s">
        <v>452</v>
      </c>
    </row>
    <row r="12" spans="1:17" ht="26.4">
      <c r="A12" s="79">
        <f t="shared" si="0"/>
        <v>10</v>
      </c>
      <c r="B12" s="80" t="s">
        <v>527</v>
      </c>
      <c r="C12" s="80" t="s">
        <v>528</v>
      </c>
      <c r="D12" s="80"/>
      <c r="E12" s="80" t="s">
        <v>529</v>
      </c>
      <c r="F12" s="79" t="s">
        <v>503</v>
      </c>
      <c r="G12" s="79" t="s">
        <v>456</v>
      </c>
      <c r="H12" s="79">
        <v>0</v>
      </c>
      <c r="I12" s="79" t="s">
        <v>456</v>
      </c>
      <c r="J12" s="79">
        <v>10</v>
      </c>
      <c r="K12" s="79">
        <v>0</v>
      </c>
      <c r="L12" s="79">
        <v>0</v>
      </c>
      <c r="M12" s="79" t="s">
        <v>451</v>
      </c>
      <c r="N12" s="79" t="s">
        <v>452</v>
      </c>
      <c r="O12" s="79" t="s">
        <v>453</v>
      </c>
      <c r="P12" s="79" t="s">
        <v>453</v>
      </c>
      <c r="Q12" s="79" t="s">
        <v>453</v>
      </c>
    </row>
    <row r="13" spans="1:17">
      <c r="A13" s="79">
        <f t="shared" si="0"/>
        <v>11</v>
      </c>
      <c r="B13" s="80" t="s">
        <v>536</v>
      </c>
      <c r="C13" s="80" t="s">
        <v>511</v>
      </c>
      <c r="D13" s="80" t="s">
        <v>536</v>
      </c>
      <c r="E13" s="80" t="s">
        <v>537</v>
      </c>
      <c r="F13" s="79" t="s">
        <v>513</v>
      </c>
      <c r="G13" s="79" t="s">
        <v>456</v>
      </c>
      <c r="H13" s="79">
        <v>0</v>
      </c>
      <c r="I13" s="79" t="s">
        <v>456</v>
      </c>
      <c r="J13" s="79">
        <v>3</v>
      </c>
      <c r="K13" s="79">
        <v>2</v>
      </c>
      <c r="L13" s="79">
        <v>0</v>
      </c>
      <c r="M13" s="79" t="s">
        <v>514</v>
      </c>
      <c r="N13" s="79" t="s">
        <v>452</v>
      </c>
      <c r="O13" s="79" t="s">
        <v>452</v>
      </c>
      <c r="P13" s="79" t="s">
        <v>452</v>
      </c>
      <c r="Q13" s="79" t="s">
        <v>452</v>
      </c>
    </row>
    <row r="14" spans="1:17" ht="26.4">
      <c r="A14" s="79">
        <f t="shared" si="0"/>
        <v>12</v>
      </c>
      <c r="B14" s="80" t="s">
        <v>548</v>
      </c>
      <c r="C14" s="80" t="s">
        <v>549</v>
      </c>
      <c r="D14" s="80"/>
      <c r="E14" s="80" t="s">
        <v>209</v>
      </c>
      <c r="F14" s="79" t="s">
        <v>503</v>
      </c>
      <c r="G14" s="79" t="s">
        <v>459</v>
      </c>
      <c r="H14" s="79" t="s">
        <v>449</v>
      </c>
      <c r="I14" s="79" t="s">
        <v>450</v>
      </c>
      <c r="J14" s="79">
        <v>1</v>
      </c>
      <c r="K14" s="79">
        <v>0</v>
      </c>
      <c r="L14" s="79">
        <v>0</v>
      </c>
      <c r="M14" s="79" t="s">
        <v>451</v>
      </c>
      <c r="N14" s="79" t="s">
        <v>452</v>
      </c>
      <c r="O14" s="79" t="s">
        <v>453</v>
      </c>
      <c r="P14" s="79" t="s">
        <v>453</v>
      </c>
      <c r="Q14" s="79" t="s">
        <v>453</v>
      </c>
    </row>
    <row r="15" spans="1:17" ht="26.4">
      <c r="A15" s="79">
        <f t="shared" si="0"/>
        <v>13</v>
      </c>
      <c r="B15" s="80" t="s">
        <v>550</v>
      </c>
      <c r="C15" s="80" t="s">
        <v>511</v>
      </c>
      <c r="D15" s="80" t="s">
        <v>550</v>
      </c>
      <c r="E15" s="80" t="s">
        <v>551</v>
      </c>
      <c r="F15" s="79" t="s">
        <v>513</v>
      </c>
      <c r="G15" s="79" t="s">
        <v>456</v>
      </c>
      <c r="H15" s="79">
        <v>0</v>
      </c>
      <c r="I15" s="79" t="s">
        <v>456</v>
      </c>
      <c r="J15" s="79">
        <v>12</v>
      </c>
      <c r="K15" s="79">
        <v>0</v>
      </c>
      <c r="L15" s="79">
        <v>0</v>
      </c>
      <c r="M15" s="79" t="s">
        <v>514</v>
      </c>
      <c r="N15" s="79" t="s">
        <v>452</v>
      </c>
      <c r="O15" s="79" t="s">
        <v>452</v>
      </c>
      <c r="P15" s="79" t="s">
        <v>452</v>
      </c>
      <c r="Q15" s="79" t="s">
        <v>452</v>
      </c>
    </row>
    <row r="16" spans="1:17">
      <c r="A16" s="79">
        <f t="shared" si="0"/>
        <v>14</v>
      </c>
      <c r="B16" s="80" t="s">
        <v>556</v>
      </c>
      <c r="C16" s="80" t="s">
        <v>557</v>
      </c>
      <c r="D16" s="80" t="s">
        <v>556</v>
      </c>
      <c r="E16" s="80" t="s">
        <v>558</v>
      </c>
      <c r="F16" s="79" t="s">
        <v>513</v>
      </c>
      <c r="G16" s="79" t="s">
        <v>456</v>
      </c>
      <c r="H16" s="79">
        <v>0</v>
      </c>
      <c r="I16" s="79" t="s">
        <v>456</v>
      </c>
      <c r="J16" s="79">
        <v>3</v>
      </c>
      <c r="K16" s="79">
        <v>2</v>
      </c>
      <c r="L16" s="79">
        <v>0</v>
      </c>
      <c r="M16" s="79" t="s">
        <v>514</v>
      </c>
      <c r="N16" s="79" t="s">
        <v>452</v>
      </c>
      <c r="O16" s="79" t="s">
        <v>452</v>
      </c>
      <c r="P16" s="79" t="s">
        <v>452</v>
      </c>
      <c r="Q16" s="79" t="s">
        <v>452</v>
      </c>
    </row>
    <row r="17" spans="1:17" ht="26.4">
      <c r="A17" s="79">
        <f t="shared" si="0"/>
        <v>15</v>
      </c>
      <c r="B17" s="80" t="s">
        <v>569</v>
      </c>
      <c r="C17" s="80" t="s">
        <v>570</v>
      </c>
      <c r="D17" s="80"/>
      <c r="E17" s="80" t="s">
        <v>189</v>
      </c>
      <c r="F17" s="79" t="s">
        <v>503</v>
      </c>
      <c r="G17" s="79" t="s">
        <v>459</v>
      </c>
      <c r="H17" s="79" t="s">
        <v>449</v>
      </c>
      <c r="I17" s="79" t="s">
        <v>450</v>
      </c>
      <c r="J17" s="79">
        <v>1</v>
      </c>
      <c r="K17" s="79">
        <v>0</v>
      </c>
      <c r="L17" s="79">
        <v>0</v>
      </c>
      <c r="M17" s="79" t="s">
        <v>451</v>
      </c>
      <c r="N17" s="79" t="s">
        <v>452</v>
      </c>
      <c r="O17" s="79" t="s">
        <v>453</v>
      </c>
      <c r="P17" s="79" t="s">
        <v>453</v>
      </c>
      <c r="Q17" s="79" t="s">
        <v>453</v>
      </c>
    </row>
    <row r="18" spans="1:17" ht="26.4">
      <c r="A18" s="79">
        <f t="shared" si="0"/>
        <v>16</v>
      </c>
      <c r="B18" s="80" t="s">
        <v>580</v>
      </c>
      <c r="C18" s="80" t="s">
        <v>581</v>
      </c>
      <c r="D18" s="80"/>
      <c r="E18" s="80" t="s">
        <v>173</v>
      </c>
      <c r="F18" s="79" t="s">
        <v>503</v>
      </c>
      <c r="G18" s="79" t="s">
        <v>459</v>
      </c>
      <c r="H18" s="79" t="s">
        <v>449</v>
      </c>
      <c r="I18" s="79" t="s">
        <v>450</v>
      </c>
      <c r="J18" s="79">
        <v>1</v>
      </c>
      <c r="K18" s="79">
        <v>0</v>
      </c>
      <c r="L18" s="79">
        <v>0</v>
      </c>
      <c r="M18" s="79" t="s">
        <v>451</v>
      </c>
      <c r="N18" s="79" t="s">
        <v>452</v>
      </c>
      <c r="O18" s="79" t="s">
        <v>453</v>
      </c>
      <c r="P18" s="79" t="s">
        <v>453</v>
      </c>
      <c r="Q18" s="79" t="s">
        <v>453</v>
      </c>
    </row>
    <row r="19" spans="1:17" ht="26.4">
      <c r="A19" s="79">
        <f t="shared" si="0"/>
        <v>17</v>
      </c>
      <c r="B19" s="80" t="s">
        <v>584</v>
      </c>
      <c r="C19" s="80" t="s">
        <v>585</v>
      </c>
      <c r="D19" s="80"/>
      <c r="E19" s="80" t="s">
        <v>586</v>
      </c>
      <c r="F19" s="79" t="s">
        <v>503</v>
      </c>
      <c r="G19" s="79" t="s">
        <v>456</v>
      </c>
      <c r="H19" s="79">
        <v>0</v>
      </c>
      <c r="I19" s="79" t="s">
        <v>456</v>
      </c>
      <c r="J19" s="79">
        <v>10</v>
      </c>
      <c r="K19" s="79">
        <v>0</v>
      </c>
      <c r="L19" s="79">
        <v>0</v>
      </c>
      <c r="M19" s="79" t="s">
        <v>451</v>
      </c>
      <c r="N19" s="79" t="s">
        <v>452</v>
      </c>
      <c r="O19" s="79" t="s">
        <v>453</v>
      </c>
      <c r="P19" s="79" t="s">
        <v>453</v>
      </c>
      <c r="Q19" s="79" t="s">
        <v>453</v>
      </c>
    </row>
    <row r="20" spans="1:17" ht="39.6">
      <c r="A20" s="79">
        <f t="shared" si="0"/>
        <v>18</v>
      </c>
      <c r="B20" s="80" t="s">
        <v>589</v>
      </c>
      <c r="C20" s="80" t="s">
        <v>590</v>
      </c>
      <c r="D20" s="80" t="s">
        <v>589</v>
      </c>
      <c r="E20" s="80" t="s">
        <v>591</v>
      </c>
      <c r="F20" s="79" t="s">
        <v>513</v>
      </c>
      <c r="G20" s="79" t="s">
        <v>456</v>
      </c>
      <c r="H20" s="79">
        <v>0</v>
      </c>
      <c r="I20" s="79" t="s">
        <v>456</v>
      </c>
      <c r="J20" s="79">
        <v>12</v>
      </c>
      <c r="K20" s="79">
        <v>0</v>
      </c>
      <c r="L20" s="79">
        <v>0</v>
      </c>
      <c r="M20" s="79" t="s">
        <v>514</v>
      </c>
      <c r="N20" s="79" t="s">
        <v>452</v>
      </c>
      <c r="O20" s="79" t="s">
        <v>452</v>
      </c>
      <c r="P20" s="79" t="s">
        <v>452</v>
      </c>
      <c r="Q20" s="79" t="s">
        <v>452</v>
      </c>
    </row>
    <row r="21" spans="1:17" ht="26.4">
      <c r="A21" s="79">
        <f t="shared" si="0"/>
        <v>19</v>
      </c>
      <c r="B21" s="80" t="s">
        <v>608</v>
      </c>
      <c r="C21" s="80" t="s">
        <v>609</v>
      </c>
      <c r="D21" s="80"/>
      <c r="E21" s="80" t="s">
        <v>214</v>
      </c>
      <c r="F21" s="79" t="s">
        <v>503</v>
      </c>
      <c r="G21" s="79" t="s">
        <v>456</v>
      </c>
      <c r="H21" s="79">
        <v>0</v>
      </c>
      <c r="I21" s="79" t="s">
        <v>456</v>
      </c>
      <c r="J21" s="79">
        <v>3</v>
      </c>
      <c r="K21" s="79">
        <v>0</v>
      </c>
      <c r="L21" s="79">
        <v>0</v>
      </c>
      <c r="M21" s="79" t="s">
        <v>451</v>
      </c>
      <c r="N21" s="79" t="s">
        <v>452</v>
      </c>
      <c r="O21" s="79" t="s">
        <v>453</v>
      </c>
      <c r="P21" s="79" t="s">
        <v>453</v>
      </c>
      <c r="Q21" s="79" t="s">
        <v>453</v>
      </c>
    </row>
    <row r="22" spans="1:17" ht="26.4">
      <c r="A22" s="79">
        <f t="shared" si="0"/>
        <v>20</v>
      </c>
      <c r="B22" s="80" t="s">
        <v>610</v>
      </c>
      <c r="C22" s="80" t="s">
        <v>611</v>
      </c>
      <c r="D22" s="80"/>
      <c r="E22" s="80" t="s">
        <v>612</v>
      </c>
      <c r="F22" s="79" t="s">
        <v>503</v>
      </c>
      <c r="G22" s="79" t="s">
        <v>468</v>
      </c>
      <c r="H22" s="79" t="s">
        <v>118</v>
      </c>
      <c r="I22" s="79" t="s">
        <v>450</v>
      </c>
      <c r="J22" s="79">
        <v>1</v>
      </c>
      <c r="K22" s="79">
        <v>0</v>
      </c>
      <c r="L22" s="79">
        <v>0</v>
      </c>
      <c r="M22" s="79" t="s">
        <v>451</v>
      </c>
      <c r="N22" s="79" t="s">
        <v>452</v>
      </c>
      <c r="O22" s="79" t="s">
        <v>453</v>
      </c>
      <c r="P22" s="79" t="s">
        <v>453</v>
      </c>
      <c r="Q22" s="79" t="s">
        <v>453</v>
      </c>
    </row>
    <row r="23" spans="1:17">
      <c r="A23" s="79">
        <f t="shared" si="0"/>
        <v>21</v>
      </c>
      <c r="B23" s="80" t="s">
        <v>613</v>
      </c>
      <c r="C23" s="80" t="s">
        <v>614</v>
      </c>
      <c r="D23" s="80"/>
      <c r="E23" s="80" t="s">
        <v>615</v>
      </c>
      <c r="F23" s="79" t="s">
        <v>503</v>
      </c>
      <c r="G23" s="79" t="s">
        <v>456</v>
      </c>
      <c r="H23" s="79">
        <v>0</v>
      </c>
      <c r="I23" s="79" t="s">
        <v>456</v>
      </c>
      <c r="J23" s="79">
        <v>10</v>
      </c>
      <c r="K23" s="79">
        <v>0</v>
      </c>
      <c r="L23" s="79">
        <v>0</v>
      </c>
      <c r="M23" s="79" t="s">
        <v>451</v>
      </c>
      <c r="N23" s="79" t="s">
        <v>452</v>
      </c>
      <c r="O23" s="79" t="s">
        <v>453</v>
      </c>
      <c r="P23" s="79" t="s">
        <v>453</v>
      </c>
      <c r="Q23" s="79" t="s">
        <v>453</v>
      </c>
    </row>
    <row r="24" spans="1:17" ht="39.6">
      <c r="A24" s="79">
        <f t="shared" si="0"/>
        <v>22</v>
      </c>
      <c r="B24" s="80" t="s">
        <v>616</v>
      </c>
      <c r="C24" s="80" t="s">
        <v>617</v>
      </c>
      <c r="D24" s="80" t="s">
        <v>616</v>
      </c>
      <c r="E24" s="80" t="s">
        <v>618</v>
      </c>
      <c r="F24" s="79" t="s">
        <v>513</v>
      </c>
      <c r="G24" s="79" t="s">
        <v>456</v>
      </c>
      <c r="H24" s="79">
        <v>0</v>
      </c>
      <c r="I24" s="79" t="s">
        <v>456</v>
      </c>
      <c r="J24" s="79">
        <v>12</v>
      </c>
      <c r="K24" s="79">
        <v>0</v>
      </c>
      <c r="L24" s="79">
        <v>0</v>
      </c>
      <c r="M24" s="79" t="s">
        <v>514</v>
      </c>
      <c r="N24" s="79" t="s">
        <v>452</v>
      </c>
      <c r="O24" s="79" t="s">
        <v>452</v>
      </c>
      <c r="P24" s="79" t="s">
        <v>452</v>
      </c>
      <c r="Q24" s="79" t="s">
        <v>452</v>
      </c>
    </row>
    <row r="25" spans="1:17">
      <c r="A25" s="79">
        <f t="shared" si="0"/>
        <v>23</v>
      </c>
      <c r="B25" s="80" t="s">
        <v>619</v>
      </c>
      <c r="C25" s="80" t="s">
        <v>511</v>
      </c>
      <c r="D25" s="80" t="s">
        <v>619</v>
      </c>
      <c r="E25" s="80" t="s">
        <v>620</v>
      </c>
      <c r="F25" s="79" t="s">
        <v>513</v>
      </c>
      <c r="H25" s="79" t="s">
        <v>449</v>
      </c>
      <c r="I25" s="79" t="s">
        <v>450</v>
      </c>
      <c r="J25" s="79">
        <v>20</v>
      </c>
      <c r="K25" s="79">
        <v>0</v>
      </c>
      <c r="L25" s="79">
        <v>0</v>
      </c>
      <c r="M25" s="79" t="s">
        <v>514</v>
      </c>
      <c r="N25" s="79" t="s">
        <v>452</v>
      </c>
      <c r="O25" s="79" t="s">
        <v>452</v>
      </c>
    </row>
    <row r="26" spans="1:17">
      <c r="A26" s="79">
        <f t="shared" si="0"/>
        <v>24</v>
      </c>
      <c r="B26" s="80" t="s">
        <v>623</v>
      </c>
      <c r="C26" s="80" t="s">
        <v>511</v>
      </c>
      <c r="D26" s="80" t="s">
        <v>623</v>
      </c>
      <c r="E26" s="80" t="s">
        <v>624</v>
      </c>
      <c r="F26" s="79" t="s">
        <v>513</v>
      </c>
      <c r="H26" s="79" t="s">
        <v>449</v>
      </c>
      <c r="I26" s="79" t="s">
        <v>450</v>
      </c>
      <c r="J26" s="79">
        <v>2</v>
      </c>
      <c r="K26" s="79">
        <v>0</v>
      </c>
      <c r="L26" s="79">
        <v>0</v>
      </c>
      <c r="M26" s="79" t="s">
        <v>514</v>
      </c>
      <c r="N26" s="79" t="s">
        <v>452</v>
      </c>
      <c r="P26" s="79" t="s">
        <v>452</v>
      </c>
      <c r="Q26" s="79" t="s">
        <v>452</v>
      </c>
    </row>
    <row r="27" spans="1:17">
      <c r="A27" s="79">
        <f t="shared" si="0"/>
        <v>25</v>
      </c>
      <c r="B27" s="80" t="s">
        <v>625</v>
      </c>
      <c r="C27" s="80" t="s">
        <v>511</v>
      </c>
      <c r="D27" s="80" t="s">
        <v>625</v>
      </c>
      <c r="E27" s="80" t="s">
        <v>626</v>
      </c>
      <c r="F27" s="79" t="s">
        <v>513</v>
      </c>
      <c r="H27" s="79" t="s">
        <v>449</v>
      </c>
      <c r="I27" s="79" t="s">
        <v>450</v>
      </c>
      <c r="J27" s="79">
        <v>20</v>
      </c>
      <c r="K27" s="79">
        <v>0</v>
      </c>
      <c r="L27" s="79">
        <v>0</v>
      </c>
      <c r="M27" s="79" t="s">
        <v>514</v>
      </c>
      <c r="N27" s="79" t="s">
        <v>452</v>
      </c>
      <c r="P27" s="79" t="s">
        <v>452</v>
      </c>
    </row>
    <row r="28" spans="1:17">
      <c r="A28" s="79">
        <f t="shared" si="0"/>
        <v>26</v>
      </c>
      <c r="B28" s="80" t="s">
        <v>630</v>
      </c>
      <c r="C28" s="80" t="s">
        <v>630</v>
      </c>
      <c r="D28" s="80"/>
      <c r="E28" s="80" t="s">
        <v>631</v>
      </c>
      <c r="F28" s="79" t="s">
        <v>629</v>
      </c>
      <c r="G28" s="79" t="s">
        <v>456</v>
      </c>
      <c r="H28" s="79">
        <v>0</v>
      </c>
      <c r="I28" s="79" t="s">
        <v>456</v>
      </c>
      <c r="J28" s="79">
        <v>3</v>
      </c>
      <c r="K28" s="79">
        <v>0</v>
      </c>
      <c r="L28" s="79">
        <v>0</v>
      </c>
      <c r="M28" s="79" t="s">
        <v>451</v>
      </c>
      <c r="N28" s="79" t="s">
        <v>452</v>
      </c>
      <c r="O28" s="79" t="s">
        <v>453</v>
      </c>
      <c r="P28" s="79" t="s">
        <v>453</v>
      </c>
      <c r="Q28" s="79" t="s">
        <v>453</v>
      </c>
    </row>
    <row r="29" spans="1:17">
      <c r="A29" s="79">
        <f t="shared" si="0"/>
        <v>27</v>
      </c>
      <c r="B29" s="80" t="s">
        <v>634</v>
      </c>
      <c r="C29" s="80" t="s">
        <v>511</v>
      </c>
      <c r="D29" s="80" t="s">
        <v>634</v>
      </c>
      <c r="E29" s="80" t="s">
        <v>635</v>
      </c>
      <c r="F29" s="79" t="s">
        <v>513</v>
      </c>
      <c r="G29" s="79" t="s">
        <v>456</v>
      </c>
      <c r="H29" s="79">
        <v>0</v>
      </c>
      <c r="I29" s="79" t="s">
        <v>456</v>
      </c>
      <c r="J29" s="79">
        <v>12</v>
      </c>
      <c r="K29" s="79">
        <v>2</v>
      </c>
      <c r="L29" s="79">
        <v>0</v>
      </c>
      <c r="M29" s="79" t="s">
        <v>514</v>
      </c>
      <c r="N29" s="79" t="s">
        <v>452</v>
      </c>
      <c r="Q29" s="79" t="s">
        <v>452</v>
      </c>
    </row>
    <row r="30" spans="1:17" ht="26.4">
      <c r="A30" s="79">
        <f t="shared" si="0"/>
        <v>28</v>
      </c>
      <c r="B30" s="80" t="s">
        <v>636</v>
      </c>
      <c r="C30" s="80" t="s">
        <v>637</v>
      </c>
      <c r="D30" s="80"/>
      <c r="E30" s="80" t="s">
        <v>638</v>
      </c>
      <c r="F30" s="79" t="s">
        <v>629</v>
      </c>
      <c r="G30" s="79" t="s">
        <v>456</v>
      </c>
      <c r="H30" s="79">
        <v>0</v>
      </c>
      <c r="I30" s="79" t="s">
        <v>456</v>
      </c>
      <c r="J30" s="79">
        <v>4</v>
      </c>
      <c r="K30" s="79">
        <v>2</v>
      </c>
      <c r="L30" s="79">
        <v>0</v>
      </c>
      <c r="M30" s="79" t="s">
        <v>451</v>
      </c>
      <c r="N30" s="79" t="s">
        <v>452</v>
      </c>
      <c r="O30" s="79" t="s">
        <v>453</v>
      </c>
      <c r="P30" s="79" t="s">
        <v>453</v>
      </c>
      <c r="Q30" s="79" t="s">
        <v>453</v>
      </c>
    </row>
    <row r="31" spans="1:17" ht="26.4">
      <c r="A31" s="79">
        <f t="shared" si="0"/>
        <v>29</v>
      </c>
      <c r="B31" s="80" t="s">
        <v>639</v>
      </c>
      <c r="C31" s="80" t="s">
        <v>637</v>
      </c>
      <c r="D31" s="80"/>
      <c r="E31" s="80" t="s">
        <v>640</v>
      </c>
      <c r="F31" s="79" t="s">
        <v>629</v>
      </c>
      <c r="G31" s="79" t="s">
        <v>456</v>
      </c>
      <c r="H31" s="79">
        <v>0</v>
      </c>
      <c r="I31" s="79" t="s">
        <v>456</v>
      </c>
      <c r="J31" s="79">
        <v>4</v>
      </c>
      <c r="K31" s="79">
        <v>2</v>
      </c>
      <c r="L31" s="79">
        <v>0</v>
      </c>
      <c r="M31" s="79" t="s">
        <v>451</v>
      </c>
      <c r="N31" s="79" t="s">
        <v>452</v>
      </c>
      <c r="O31" s="79" t="s">
        <v>453</v>
      </c>
      <c r="P31" s="79" t="s">
        <v>453</v>
      </c>
      <c r="Q31" s="79" t="s">
        <v>453</v>
      </c>
    </row>
    <row r="32" spans="1:17" ht="26.4">
      <c r="A32" s="79">
        <f t="shared" si="0"/>
        <v>30</v>
      </c>
      <c r="B32" s="80" t="s">
        <v>641</v>
      </c>
      <c r="C32" s="80" t="s">
        <v>637</v>
      </c>
      <c r="D32" s="80"/>
      <c r="E32" s="80" t="s">
        <v>642</v>
      </c>
      <c r="F32" s="79" t="s">
        <v>629</v>
      </c>
      <c r="G32" s="79" t="s">
        <v>456</v>
      </c>
      <c r="H32" s="79">
        <v>0</v>
      </c>
      <c r="I32" s="79" t="s">
        <v>456</v>
      </c>
      <c r="J32" s="79">
        <v>4</v>
      </c>
      <c r="K32" s="79">
        <v>2</v>
      </c>
      <c r="L32" s="79">
        <v>0</v>
      </c>
      <c r="M32" s="79" t="s">
        <v>451</v>
      </c>
      <c r="N32" s="79" t="s">
        <v>452</v>
      </c>
      <c r="O32" s="79" t="s">
        <v>453</v>
      </c>
      <c r="P32" s="79" t="s">
        <v>453</v>
      </c>
      <c r="Q32" s="79" t="s">
        <v>453</v>
      </c>
    </row>
    <row r="33" spans="1:17" ht="26.4">
      <c r="A33" s="79">
        <f t="shared" si="0"/>
        <v>31</v>
      </c>
      <c r="B33" s="80" t="s">
        <v>643</v>
      </c>
      <c r="C33" s="80" t="s">
        <v>637</v>
      </c>
      <c r="D33" s="80"/>
      <c r="E33" s="80" t="s">
        <v>644</v>
      </c>
      <c r="F33" s="79" t="s">
        <v>629</v>
      </c>
      <c r="G33" s="79" t="s">
        <v>456</v>
      </c>
      <c r="H33" s="79">
        <v>0</v>
      </c>
      <c r="I33" s="79" t="s">
        <v>456</v>
      </c>
      <c r="J33" s="79">
        <v>4</v>
      </c>
      <c r="K33" s="79">
        <v>2</v>
      </c>
      <c r="L33" s="79">
        <v>0</v>
      </c>
      <c r="M33" s="79" t="s">
        <v>451</v>
      </c>
      <c r="N33" s="79" t="s">
        <v>452</v>
      </c>
      <c r="O33" s="79" t="s">
        <v>453</v>
      </c>
      <c r="P33" s="79" t="s">
        <v>453</v>
      </c>
      <c r="Q33" s="79" t="s">
        <v>453</v>
      </c>
    </row>
    <row r="34" spans="1:17" ht="26.4">
      <c r="A34" s="79">
        <f t="shared" si="0"/>
        <v>32</v>
      </c>
      <c r="B34" s="80" t="s">
        <v>645</v>
      </c>
      <c r="C34" s="80" t="s">
        <v>637</v>
      </c>
      <c r="D34" s="80"/>
      <c r="E34" s="80" t="s">
        <v>646</v>
      </c>
      <c r="F34" s="79" t="s">
        <v>629</v>
      </c>
      <c r="G34" s="79" t="s">
        <v>456</v>
      </c>
      <c r="H34" s="79">
        <v>0</v>
      </c>
      <c r="I34" s="79" t="s">
        <v>456</v>
      </c>
      <c r="J34" s="79">
        <v>4</v>
      </c>
      <c r="K34" s="79">
        <v>2</v>
      </c>
      <c r="L34" s="79">
        <v>0</v>
      </c>
      <c r="M34" s="79" t="s">
        <v>451</v>
      </c>
      <c r="N34" s="79" t="s">
        <v>452</v>
      </c>
      <c r="O34" s="79" t="s">
        <v>453</v>
      </c>
      <c r="P34" s="79" t="s">
        <v>453</v>
      </c>
      <c r="Q34" s="79" t="s">
        <v>453</v>
      </c>
    </row>
    <row r="35" spans="1:17" ht="26.4">
      <c r="A35" s="79">
        <f t="shared" si="0"/>
        <v>33</v>
      </c>
      <c r="B35" s="80" t="s">
        <v>647</v>
      </c>
      <c r="C35" s="80" t="s">
        <v>637</v>
      </c>
      <c r="D35" s="80"/>
      <c r="E35" s="80" t="s">
        <v>648</v>
      </c>
      <c r="F35" s="79" t="s">
        <v>629</v>
      </c>
      <c r="G35" s="79" t="s">
        <v>456</v>
      </c>
      <c r="H35" s="79">
        <v>0</v>
      </c>
      <c r="I35" s="79" t="s">
        <v>456</v>
      </c>
      <c r="J35" s="79">
        <v>4</v>
      </c>
      <c r="K35" s="79">
        <v>2</v>
      </c>
      <c r="L35" s="79">
        <v>0</v>
      </c>
      <c r="M35" s="79" t="s">
        <v>451</v>
      </c>
      <c r="N35" s="79" t="s">
        <v>452</v>
      </c>
      <c r="O35" s="79" t="s">
        <v>453</v>
      </c>
      <c r="P35" s="79" t="s">
        <v>453</v>
      </c>
      <c r="Q35" s="79" t="s">
        <v>453</v>
      </c>
    </row>
    <row r="36" spans="1:17">
      <c r="A36" s="79">
        <f t="shared" si="0"/>
        <v>34</v>
      </c>
      <c r="B36" s="80" t="s">
        <v>649</v>
      </c>
      <c r="C36" s="80" t="s">
        <v>511</v>
      </c>
      <c r="D36" s="80" t="s">
        <v>649</v>
      </c>
      <c r="E36" s="80" t="s">
        <v>650</v>
      </c>
      <c r="F36" s="79" t="s">
        <v>513</v>
      </c>
      <c r="H36" s="79" t="s">
        <v>449</v>
      </c>
      <c r="I36" s="79" t="s">
        <v>450</v>
      </c>
      <c r="J36" s="79">
        <v>20</v>
      </c>
      <c r="K36" s="79">
        <v>0</v>
      </c>
      <c r="L36" s="79">
        <v>0</v>
      </c>
      <c r="M36" s="79" t="s">
        <v>514</v>
      </c>
      <c r="N36" s="79" t="s">
        <v>452</v>
      </c>
      <c r="Q36" s="79" t="s">
        <v>452</v>
      </c>
    </row>
    <row r="37" spans="1:17">
      <c r="A37" s="79">
        <f t="shared" si="0"/>
        <v>35</v>
      </c>
      <c r="B37" s="80" t="s">
        <v>656</v>
      </c>
      <c r="C37" s="80" t="s">
        <v>657</v>
      </c>
      <c r="D37" s="80" t="s">
        <v>658</v>
      </c>
      <c r="E37" s="80" t="s">
        <v>659</v>
      </c>
      <c r="F37" s="79" t="s">
        <v>513</v>
      </c>
      <c r="G37" s="79" t="s">
        <v>468</v>
      </c>
      <c r="H37" s="79" t="s">
        <v>449</v>
      </c>
      <c r="I37" s="79" t="s">
        <v>450</v>
      </c>
      <c r="J37" s="79">
        <v>1</v>
      </c>
      <c r="K37" s="79">
        <v>0</v>
      </c>
      <c r="L37" s="79">
        <v>0</v>
      </c>
      <c r="M37" s="79" t="s">
        <v>514</v>
      </c>
      <c r="N37" s="79" t="s">
        <v>452</v>
      </c>
      <c r="Q37" s="79" t="s">
        <v>452</v>
      </c>
    </row>
    <row r="38" spans="1:17">
      <c r="A38" s="79">
        <f t="shared" si="0"/>
        <v>36</v>
      </c>
      <c r="B38" s="80" t="s">
        <v>663</v>
      </c>
      <c r="C38" s="80" t="s">
        <v>661</v>
      </c>
      <c r="D38" s="80"/>
      <c r="E38" s="80" t="s">
        <v>252</v>
      </c>
      <c r="F38" s="79" t="s">
        <v>655</v>
      </c>
      <c r="G38" s="79" t="s">
        <v>456</v>
      </c>
      <c r="H38" s="79">
        <v>0</v>
      </c>
      <c r="I38" s="79" t="s">
        <v>456</v>
      </c>
      <c r="J38" s="79">
        <v>4</v>
      </c>
      <c r="K38" s="79">
        <v>0</v>
      </c>
      <c r="L38" s="79">
        <v>0</v>
      </c>
      <c r="M38" s="79" t="s">
        <v>579</v>
      </c>
      <c r="N38" s="79" t="s">
        <v>452</v>
      </c>
      <c r="P38" s="79" t="s">
        <v>453</v>
      </c>
      <c r="Q38" s="79" t="s">
        <v>453</v>
      </c>
    </row>
    <row r="39" spans="1:17">
      <c r="A39" s="79">
        <f t="shared" si="0"/>
        <v>37</v>
      </c>
      <c r="B39" s="80" t="s">
        <v>667</v>
      </c>
      <c r="C39" s="80" t="s">
        <v>661</v>
      </c>
      <c r="D39" s="80"/>
      <c r="E39" s="80" t="s">
        <v>267</v>
      </c>
      <c r="F39" s="79" t="s">
        <v>655</v>
      </c>
      <c r="G39" s="79" t="s">
        <v>456</v>
      </c>
      <c r="H39" s="79">
        <v>0</v>
      </c>
      <c r="I39" s="79" t="s">
        <v>456</v>
      </c>
      <c r="J39" s="79">
        <v>12</v>
      </c>
      <c r="K39" s="79">
        <v>0</v>
      </c>
      <c r="L39" s="79">
        <v>0</v>
      </c>
      <c r="M39" s="79" t="s">
        <v>579</v>
      </c>
      <c r="N39" s="79" t="s">
        <v>452</v>
      </c>
      <c r="P39" s="79" t="s">
        <v>453</v>
      </c>
      <c r="Q39" s="79" t="s">
        <v>453</v>
      </c>
    </row>
    <row r="40" spans="1:17" ht="26.4">
      <c r="A40" s="79">
        <f t="shared" si="0"/>
        <v>38</v>
      </c>
      <c r="B40" s="80" t="s">
        <v>668</v>
      </c>
      <c r="C40" s="80" t="s">
        <v>661</v>
      </c>
      <c r="D40" s="80"/>
      <c r="E40" s="80" t="s">
        <v>669</v>
      </c>
      <c r="F40" s="79" t="s">
        <v>655</v>
      </c>
      <c r="G40" s="79" t="s">
        <v>456</v>
      </c>
      <c r="H40" s="79">
        <v>0</v>
      </c>
      <c r="I40" s="79" t="s">
        <v>456</v>
      </c>
      <c r="J40" s="79">
        <v>4</v>
      </c>
      <c r="K40" s="79">
        <v>0</v>
      </c>
      <c r="L40" s="79">
        <v>0</v>
      </c>
      <c r="M40" s="79" t="s">
        <v>579</v>
      </c>
      <c r="N40" s="79" t="s">
        <v>452</v>
      </c>
      <c r="P40" s="79" t="s">
        <v>453</v>
      </c>
      <c r="Q40" s="79" t="s">
        <v>453</v>
      </c>
    </row>
    <row r="41" spans="1:17" ht="26.4">
      <c r="A41" s="79">
        <f t="shared" si="0"/>
        <v>39</v>
      </c>
      <c r="B41" s="80" t="s">
        <v>671</v>
      </c>
      <c r="C41" s="80" t="s">
        <v>672</v>
      </c>
      <c r="D41" s="80" t="s">
        <v>671</v>
      </c>
      <c r="E41" s="80" t="s">
        <v>673</v>
      </c>
      <c r="F41" s="79" t="s">
        <v>655</v>
      </c>
      <c r="G41" s="79" t="s">
        <v>456</v>
      </c>
      <c r="H41" s="79">
        <v>0</v>
      </c>
      <c r="I41" s="79" t="s">
        <v>456</v>
      </c>
      <c r="J41" s="79">
        <v>4</v>
      </c>
      <c r="K41" s="79">
        <v>0</v>
      </c>
      <c r="L41" s="79">
        <v>0</v>
      </c>
      <c r="M41" s="79" t="s">
        <v>451</v>
      </c>
      <c r="N41" s="79" t="s">
        <v>452</v>
      </c>
      <c r="P41" s="79" t="s">
        <v>453</v>
      </c>
      <c r="Q41" s="79" t="s">
        <v>453</v>
      </c>
    </row>
    <row r="42" spans="1:17">
      <c r="A42" s="79">
        <f t="shared" si="0"/>
        <v>40</v>
      </c>
      <c r="B42" s="80" t="s">
        <v>678</v>
      </c>
      <c r="C42" s="80" t="s">
        <v>661</v>
      </c>
      <c r="D42" s="80" t="s">
        <v>678</v>
      </c>
      <c r="E42" s="80" t="s">
        <v>679</v>
      </c>
      <c r="F42" s="79" t="s">
        <v>655</v>
      </c>
      <c r="G42" s="79" t="s">
        <v>456</v>
      </c>
      <c r="H42" s="79">
        <v>0</v>
      </c>
      <c r="I42" s="79" t="s">
        <v>456</v>
      </c>
      <c r="J42" s="79">
        <v>12</v>
      </c>
      <c r="K42" s="79">
        <v>0</v>
      </c>
      <c r="L42" s="79">
        <v>0</v>
      </c>
      <c r="M42" s="79" t="s">
        <v>579</v>
      </c>
      <c r="N42" s="79" t="s">
        <v>452</v>
      </c>
      <c r="P42" s="79" t="s">
        <v>453</v>
      </c>
      <c r="Q42" s="79" t="s">
        <v>453</v>
      </c>
    </row>
    <row r="43" spans="1:17">
      <c r="A43" s="79">
        <f t="shared" si="0"/>
        <v>41</v>
      </c>
      <c r="B43" s="80" t="s">
        <v>684</v>
      </c>
      <c r="C43" s="80" t="s">
        <v>661</v>
      </c>
      <c r="D43" s="80"/>
      <c r="E43" s="80" t="s">
        <v>257</v>
      </c>
      <c r="F43" s="79" t="s">
        <v>655</v>
      </c>
      <c r="G43" s="79" t="s">
        <v>456</v>
      </c>
      <c r="H43" s="79">
        <v>0</v>
      </c>
      <c r="I43" s="79" t="s">
        <v>456</v>
      </c>
      <c r="J43" s="79">
        <v>3</v>
      </c>
      <c r="K43" s="79">
        <v>3</v>
      </c>
      <c r="L43" s="79">
        <v>0</v>
      </c>
      <c r="M43" s="79" t="s">
        <v>579</v>
      </c>
      <c r="N43" s="79" t="s">
        <v>452</v>
      </c>
      <c r="P43" s="79" t="s">
        <v>453</v>
      </c>
      <c r="Q43" s="79" t="s">
        <v>453</v>
      </c>
    </row>
    <row r="44" spans="1:17">
      <c r="A44" s="79">
        <f t="shared" si="0"/>
        <v>42</v>
      </c>
      <c r="B44" s="80" t="s">
        <v>692</v>
      </c>
      <c r="C44" s="80" t="s">
        <v>661</v>
      </c>
      <c r="D44" s="80"/>
      <c r="E44" s="80" t="s">
        <v>693</v>
      </c>
      <c r="F44" s="79" t="s">
        <v>655</v>
      </c>
      <c r="G44" s="79" t="s">
        <v>456</v>
      </c>
      <c r="H44" s="79">
        <v>0</v>
      </c>
      <c r="I44" s="79" t="s">
        <v>456</v>
      </c>
      <c r="J44" s="79">
        <v>4</v>
      </c>
      <c r="K44" s="79">
        <v>0</v>
      </c>
      <c r="L44" s="79">
        <v>0</v>
      </c>
      <c r="M44" s="79" t="s">
        <v>579</v>
      </c>
      <c r="N44" s="79" t="s">
        <v>452</v>
      </c>
      <c r="P44" s="79" t="s">
        <v>453</v>
      </c>
      <c r="Q44" s="79" t="s">
        <v>453</v>
      </c>
    </row>
    <row r="45" spans="1:17">
      <c r="A45" s="79">
        <f t="shared" si="0"/>
        <v>43</v>
      </c>
      <c r="B45" s="80" t="s">
        <v>701</v>
      </c>
      <c r="C45" s="80" t="s">
        <v>661</v>
      </c>
      <c r="D45" s="80"/>
      <c r="E45" s="80" t="s">
        <v>702</v>
      </c>
      <c r="F45" s="79" t="s">
        <v>655</v>
      </c>
      <c r="G45" s="79" t="s">
        <v>456</v>
      </c>
      <c r="H45" s="79">
        <v>0</v>
      </c>
      <c r="I45" s="79" t="s">
        <v>456</v>
      </c>
      <c r="J45" s="79">
        <v>4</v>
      </c>
      <c r="K45" s="79">
        <v>0</v>
      </c>
      <c r="L45" s="79">
        <v>0</v>
      </c>
      <c r="M45" s="79" t="s">
        <v>579</v>
      </c>
      <c r="N45" s="79" t="s">
        <v>452</v>
      </c>
      <c r="P45" s="79" t="s">
        <v>453</v>
      </c>
      <c r="Q45" s="79" t="s">
        <v>453</v>
      </c>
    </row>
    <row r="46" spans="1:17">
      <c r="A46" s="79">
        <f t="shared" si="0"/>
        <v>44</v>
      </c>
      <c r="B46" s="80" t="s">
        <v>750</v>
      </c>
      <c r="C46" s="80" t="s">
        <v>661</v>
      </c>
      <c r="D46" s="80" t="s">
        <v>750</v>
      </c>
      <c r="E46" s="80" t="s">
        <v>751</v>
      </c>
      <c r="F46" s="79" t="s">
        <v>655</v>
      </c>
      <c r="G46" s="137" t="s">
        <v>456</v>
      </c>
      <c r="H46" s="79">
        <v>0</v>
      </c>
      <c r="I46" s="79" t="s">
        <v>456</v>
      </c>
      <c r="J46" s="79">
        <v>1</v>
      </c>
      <c r="K46" s="79">
        <v>0</v>
      </c>
      <c r="L46" s="79">
        <v>0</v>
      </c>
      <c r="M46" s="79" t="s">
        <v>579</v>
      </c>
      <c r="N46" s="79" t="s">
        <v>452</v>
      </c>
      <c r="P46" s="79" t="s">
        <v>453</v>
      </c>
      <c r="Q46" s="79" t="s">
        <v>453</v>
      </c>
    </row>
    <row r="47" spans="1:17">
      <c r="A47" s="79">
        <f t="shared" si="0"/>
        <v>45</v>
      </c>
      <c r="B47" s="80" t="s">
        <v>768</v>
      </c>
      <c r="C47" s="80" t="s">
        <v>661</v>
      </c>
      <c r="D47" s="80" t="s">
        <v>768</v>
      </c>
      <c r="E47" s="80" t="s">
        <v>769</v>
      </c>
      <c r="F47" s="79" t="s">
        <v>655</v>
      </c>
      <c r="G47" s="79" t="s">
        <v>456</v>
      </c>
      <c r="H47" s="79">
        <v>0</v>
      </c>
      <c r="I47" s="79" t="s">
        <v>456</v>
      </c>
      <c r="J47" s="79">
        <v>4</v>
      </c>
      <c r="K47" s="79">
        <v>0</v>
      </c>
      <c r="L47" s="79">
        <v>0</v>
      </c>
      <c r="M47" s="79" t="s">
        <v>579</v>
      </c>
      <c r="N47" s="79" t="s">
        <v>452</v>
      </c>
      <c r="P47" s="79" t="s">
        <v>453</v>
      </c>
      <c r="Q47" s="79" t="s">
        <v>453</v>
      </c>
    </row>
    <row r="48" spans="1:17">
      <c r="A48" s="79">
        <f t="shared" si="0"/>
        <v>46</v>
      </c>
      <c r="B48" s="80" t="s">
        <v>792</v>
      </c>
      <c r="C48" s="80" t="s">
        <v>661</v>
      </c>
      <c r="D48" s="80" t="s">
        <v>792</v>
      </c>
      <c r="E48" s="80" t="s">
        <v>793</v>
      </c>
      <c r="F48" s="79" t="s">
        <v>655</v>
      </c>
      <c r="G48" s="79" t="s">
        <v>456</v>
      </c>
      <c r="H48" s="79">
        <v>0</v>
      </c>
      <c r="I48" s="79" t="s">
        <v>456</v>
      </c>
      <c r="J48" s="79">
        <v>12</v>
      </c>
      <c r="K48" s="79">
        <v>0</v>
      </c>
      <c r="L48" s="79">
        <v>0</v>
      </c>
      <c r="M48" s="79" t="s">
        <v>579</v>
      </c>
      <c r="N48" s="79" t="s">
        <v>452</v>
      </c>
      <c r="P48" s="79" t="s">
        <v>453</v>
      </c>
      <c r="Q48" s="79" t="s">
        <v>453</v>
      </c>
    </row>
    <row r="49" spans="1:17">
      <c r="A49" s="79">
        <f t="shared" si="0"/>
        <v>47</v>
      </c>
      <c r="B49" s="80" t="s">
        <v>829</v>
      </c>
      <c r="C49" s="80" t="s">
        <v>661</v>
      </c>
      <c r="D49" s="80" t="s">
        <v>829</v>
      </c>
      <c r="E49" s="80" t="s">
        <v>830</v>
      </c>
      <c r="F49" s="79" t="s">
        <v>655</v>
      </c>
      <c r="G49" s="79" t="s">
        <v>456</v>
      </c>
      <c r="H49" s="79">
        <v>0</v>
      </c>
      <c r="I49" s="79" t="s">
        <v>456</v>
      </c>
      <c r="J49" s="79">
        <v>4</v>
      </c>
      <c r="K49" s="79">
        <v>0</v>
      </c>
      <c r="L49" s="79">
        <v>0</v>
      </c>
      <c r="M49" s="79" t="s">
        <v>579</v>
      </c>
      <c r="N49" s="79" t="s">
        <v>452</v>
      </c>
      <c r="P49" s="79" t="s">
        <v>453</v>
      </c>
      <c r="Q49" s="79" t="s">
        <v>453</v>
      </c>
    </row>
    <row r="50" spans="1:17">
      <c r="A50" s="79">
        <f t="shared" si="0"/>
        <v>48</v>
      </c>
      <c r="B50" s="80" t="s">
        <v>850</v>
      </c>
      <c r="C50" s="80" t="s">
        <v>661</v>
      </c>
      <c r="D50" s="80" t="s">
        <v>850</v>
      </c>
      <c r="E50" s="80" t="s">
        <v>851</v>
      </c>
      <c r="F50" s="79" t="s">
        <v>655</v>
      </c>
      <c r="G50" s="79" t="s">
        <v>456</v>
      </c>
      <c r="H50" s="79">
        <v>0</v>
      </c>
      <c r="I50" s="79" t="s">
        <v>456</v>
      </c>
      <c r="J50" s="79">
        <v>4</v>
      </c>
      <c r="K50" s="79">
        <v>0</v>
      </c>
      <c r="L50" s="79">
        <v>0</v>
      </c>
      <c r="M50" s="79" t="s">
        <v>579</v>
      </c>
      <c r="N50" s="79" t="s">
        <v>452</v>
      </c>
      <c r="P50" s="79" t="s">
        <v>453</v>
      </c>
      <c r="Q50" s="79" t="s">
        <v>453</v>
      </c>
    </row>
    <row r="51" spans="1:17">
      <c r="A51" s="79">
        <f t="shared" si="0"/>
        <v>49</v>
      </c>
      <c r="B51" s="80" t="s">
        <v>907</v>
      </c>
      <c r="C51" s="80" t="s">
        <v>661</v>
      </c>
      <c r="D51" s="80" t="s">
        <v>907</v>
      </c>
      <c r="E51" s="80" t="s">
        <v>908</v>
      </c>
      <c r="F51" s="79" t="s">
        <v>655</v>
      </c>
      <c r="G51" s="79" t="s">
        <v>456</v>
      </c>
      <c r="H51" s="79">
        <v>0</v>
      </c>
      <c r="I51" s="79" t="s">
        <v>456</v>
      </c>
      <c r="J51" s="79">
        <v>4</v>
      </c>
      <c r="K51" s="79">
        <v>0</v>
      </c>
      <c r="L51" s="79">
        <v>0</v>
      </c>
      <c r="M51" s="79" t="s">
        <v>579</v>
      </c>
      <c r="N51" s="79" t="s">
        <v>452</v>
      </c>
      <c r="P51" s="79" t="s">
        <v>453</v>
      </c>
      <c r="Q51" s="79" t="s">
        <v>453</v>
      </c>
    </row>
    <row r="52" spans="1:17">
      <c r="A52" s="79">
        <f t="shared" si="0"/>
        <v>50</v>
      </c>
      <c r="B52" s="80" t="s">
        <v>961</v>
      </c>
      <c r="C52" s="80" t="s">
        <v>661</v>
      </c>
      <c r="D52" s="80" t="s">
        <v>961</v>
      </c>
      <c r="E52" s="80" t="s">
        <v>962</v>
      </c>
      <c r="F52" s="79" t="s">
        <v>655</v>
      </c>
      <c r="G52" s="79" t="s">
        <v>456</v>
      </c>
      <c r="H52" s="79">
        <v>0</v>
      </c>
      <c r="I52" s="79" t="s">
        <v>456</v>
      </c>
      <c r="J52" s="79">
        <v>4</v>
      </c>
      <c r="K52" s="79">
        <v>0</v>
      </c>
      <c r="L52" s="79">
        <v>0</v>
      </c>
      <c r="M52" s="79" t="s">
        <v>579</v>
      </c>
      <c r="N52" s="79" t="s">
        <v>452</v>
      </c>
      <c r="P52" s="79" t="s">
        <v>453</v>
      </c>
      <c r="Q52" s="79" t="s">
        <v>453</v>
      </c>
    </row>
    <row r="53" spans="1:17" ht="39.6">
      <c r="A53" s="79">
        <f t="shared" si="0"/>
        <v>51</v>
      </c>
      <c r="B53" s="80" t="s">
        <v>973</v>
      </c>
      <c r="C53" s="80" t="s">
        <v>974</v>
      </c>
      <c r="D53" s="80"/>
      <c r="E53" s="80" t="s">
        <v>975</v>
      </c>
      <c r="F53" s="79" t="s">
        <v>976</v>
      </c>
      <c r="G53" s="79" t="s">
        <v>468</v>
      </c>
      <c r="H53" s="79" t="s">
        <v>118</v>
      </c>
      <c r="I53" s="79" t="s">
        <v>450</v>
      </c>
      <c r="J53" s="79">
        <v>1</v>
      </c>
      <c r="K53" s="79">
        <v>0</v>
      </c>
      <c r="L53" s="79">
        <v>0</v>
      </c>
      <c r="M53" s="79" t="s">
        <v>451</v>
      </c>
      <c r="N53" s="79" t="s">
        <v>977</v>
      </c>
      <c r="O53" s="79" t="s">
        <v>453</v>
      </c>
      <c r="P53" s="79" t="s">
        <v>453</v>
      </c>
      <c r="Q53" s="79" t="s">
        <v>453</v>
      </c>
    </row>
    <row r="54" spans="1:17" ht="26.4">
      <c r="A54" s="79">
        <f t="shared" si="0"/>
        <v>52</v>
      </c>
      <c r="B54" s="80" t="s">
        <v>980</v>
      </c>
      <c r="C54" s="80" t="s">
        <v>981</v>
      </c>
      <c r="D54" s="80"/>
      <c r="E54" s="80" t="s">
        <v>982</v>
      </c>
      <c r="F54" s="79" t="s">
        <v>976</v>
      </c>
      <c r="G54" s="79" t="s">
        <v>468</v>
      </c>
      <c r="H54" s="79" t="s">
        <v>118</v>
      </c>
      <c r="I54" s="79" t="s">
        <v>450</v>
      </c>
      <c r="J54" s="79">
        <v>1</v>
      </c>
      <c r="K54" s="79">
        <v>0</v>
      </c>
      <c r="L54" s="79">
        <v>0</v>
      </c>
      <c r="M54" s="79" t="s">
        <v>451</v>
      </c>
      <c r="N54" s="79" t="s">
        <v>977</v>
      </c>
      <c r="O54" s="79" t="s">
        <v>453</v>
      </c>
      <c r="P54" s="79" t="s">
        <v>453</v>
      </c>
      <c r="Q54" s="79" t="s">
        <v>453</v>
      </c>
    </row>
    <row r="55" spans="1:17">
      <c r="A55" s="79">
        <f t="shared" si="0"/>
        <v>53</v>
      </c>
      <c r="B55" s="80" t="s">
        <v>1013</v>
      </c>
      <c r="C55" s="80" t="s">
        <v>1014</v>
      </c>
      <c r="D55" s="80"/>
      <c r="E55" s="80" t="s">
        <v>1015</v>
      </c>
      <c r="F55" s="79" t="s">
        <v>976</v>
      </c>
      <c r="G55" s="79" t="s">
        <v>456</v>
      </c>
      <c r="H55" s="79">
        <v>0</v>
      </c>
      <c r="I55" s="79" t="s">
        <v>456</v>
      </c>
      <c r="J55" s="79">
        <v>4</v>
      </c>
      <c r="K55" s="79">
        <v>0</v>
      </c>
      <c r="L55" s="79">
        <v>0</v>
      </c>
      <c r="M55" s="79" t="s">
        <v>451</v>
      </c>
      <c r="N55" s="79" t="s">
        <v>977</v>
      </c>
      <c r="O55" s="79" t="s">
        <v>453</v>
      </c>
      <c r="P55" s="79" t="s">
        <v>453</v>
      </c>
      <c r="Q55" s="79" t="s">
        <v>453</v>
      </c>
    </row>
    <row r="56" spans="1:17" ht="26.4">
      <c r="A56" s="79">
        <f t="shared" si="0"/>
        <v>54</v>
      </c>
      <c r="B56" s="80" t="s">
        <v>1045</v>
      </c>
      <c r="C56" s="80" t="s">
        <v>1046</v>
      </c>
      <c r="D56" s="80"/>
      <c r="E56" s="80" t="s">
        <v>1047</v>
      </c>
      <c r="F56" s="79" t="s">
        <v>976</v>
      </c>
      <c r="G56" s="79" t="s">
        <v>456</v>
      </c>
      <c r="H56" s="79">
        <v>0</v>
      </c>
      <c r="I56" s="79" t="s">
        <v>456</v>
      </c>
      <c r="J56" s="79">
        <v>12</v>
      </c>
      <c r="K56" s="79">
        <v>0</v>
      </c>
      <c r="L56" s="79">
        <v>0</v>
      </c>
      <c r="M56" s="79" t="s">
        <v>579</v>
      </c>
      <c r="N56" s="79" t="s">
        <v>977</v>
      </c>
      <c r="O56" s="79" t="s">
        <v>453</v>
      </c>
      <c r="P56" s="79" t="s">
        <v>453</v>
      </c>
      <c r="Q56" s="79" t="s">
        <v>453</v>
      </c>
    </row>
    <row r="57" spans="1:17">
      <c r="A57" s="79">
        <f t="shared" si="0"/>
        <v>55</v>
      </c>
      <c r="B57" s="80" t="s">
        <v>1050</v>
      </c>
      <c r="C57" s="81" t="s">
        <v>1051</v>
      </c>
      <c r="D57" s="80" t="s">
        <v>1052</v>
      </c>
      <c r="E57" s="80" t="s">
        <v>1053</v>
      </c>
      <c r="F57" s="79" t="s">
        <v>503</v>
      </c>
      <c r="G57" s="79" t="s">
        <v>456</v>
      </c>
      <c r="H57" s="79">
        <v>0</v>
      </c>
      <c r="I57" s="79" t="s">
        <v>456</v>
      </c>
      <c r="J57" s="79">
        <v>10</v>
      </c>
      <c r="K57" s="79">
        <v>0</v>
      </c>
      <c r="L57" s="79">
        <v>0</v>
      </c>
      <c r="M57" s="79" t="s">
        <v>451</v>
      </c>
      <c r="N57" s="79" t="s">
        <v>452</v>
      </c>
      <c r="O57" s="79" t="s">
        <v>453</v>
      </c>
      <c r="P57" s="79" t="s">
        <v>453</v>
      </c>
      <c r="Q57" s="79" t="s">
        <v>453</v>
      </c>
    </row>
    <row r="58" spans="1:17">
      <c r="A58" s="79">
        <f t="shared" si="0"/>
        <v>56</v>
      </c>
      <c r="B58" s="80" t="s">
        <v>1080</v>
      </c>
      <c r="C58" s="80" t="s">
        <v>1081</v>
      </c>
      <c r="D58" s="80" t="s">
        <v>1082</v>
      </c>
      <c r="E58" s="80" t="s">
        <v>1083</v>
      </c>
      <c r="F58" s="79" t="s">
        <v>503</v>
      </c>
      <c r="H58" s="79" t="s">
        <v>449</v>
      </c>
      <c r="I58" s="79" t="s">
        <v>450</v>
      </c>
      <c r="J58" s="79">
        <v>2</v>
      </c>
      <c r="K58" s="79">
        <v>0</v>
      </c>
      <c r="L58" s="79">
        <v>0</v>
      </c>
      <c r="M58" s="79" t="s">
        <v>451</v>
      </c>
      <c r="N58" s="79" t="s">
        <v>452</v>
      </c>
      <c r="O58" s="79" t="s">
        <v>453</v>
      </c>
      <c r="P58" s="79" t="s">
        <v>453</v>
      </c>
      <c r="Q58" s="79" t="s">
        <v>453</v>
      </c>
    </row>
    <row r="59" spans="1:17">
      <c r="A59" s="79">
        <f t="shared" si="0"/>
        <v>57</v>
      </c>
      <c r="B59" s="80" t="s">
        <v>1171</v>
      </c>
      <c r="C59" s="80" t="s">
        <v>1172</v>
      </c>
      <c r="D59" s="80" t="s">
        <v>1173</v>
      </c>
      <c r="E59" s="80" t="s">
        <v>253</v>
      </c>
      <c r="F59" s="79" t="s">
        <v>503</v>
      </c>
      <c r="G59" s="79" t="s">
        <v>456</v>
      </c>
      <c r="H59" s="79">
        <v>0</v>
      </c>
      <c r="I59" s="79" t="s">
        <v>456</v>
      </c>
      <c r="J59" s="79">
        <v>10</v>
      </c>
      <c r="K59" s="79">
        <v>0</v>
      </c>
      <c r="L59" s="79">
        <v>0</v>
      </c>
      <c r="M59" s="79" t="s">
        <v>451</v>
      </c>
      <c r="N59" s="79" t="s">
        <v>452</v>
      </c>
      <c r="O59" s="79" t="s">
        <v>453</v>
      </c>
      <c r="P59" s="79" t="s">
        <v>453</v>
      </c>
      <c r="Q59" s="79" t="s">
        <v>453</v>
      </c>
    </row>
    <row r="60" spans="1:17">
      <c r="A60" s="79">
        <f t="shared" si="0"/>
        <v>58</v>
      </c>
      <c r="B60" s="80" t="s">
        <v>1213</v>
      </c>
      <c r="C60" s="80" t="s">
        <v>1214</v>
      </c>
      <c r="D60" s="80" t="s">
        <v>162</v>
      </c>
      <c r="E60" s="80" t="s">
        <v>164</v>
      </c>
      <c r="F60" s="79" t="s">
        <v>503</v>
      </c>
      <c r="G60" s="79" t="s">
        <v>456</v>
      </c>
      <c r="H60" s="79">
        <v>0</v>
      </c>
      <c r="I60" s="79" t="s">
        <v>456</v>
      </c>
      <c r="J60" s="79">
        <v>3</v>
      </c>
      <c r="K60" s="79">
        <v>0</v>
      </c>
      <c r="L60" s="79">
        <v>0</v>
      </c>
      <c r="M60" s="79" t="s">
        <v>579</v>
      </c>
      <c r="N60" s="79" t="s">
        <v>452</v>
      </c>
      <c r="O60" s="79" t="s">
        <v>453</v>
      </c>
      <c r="P60" s="79" t="s">
        <v>453</v>
      </c>
      <c r="Q60" s="79" t="s">
        <v>453</v>
      </c>
    </row>
    <row r="61" spans="1:17">
      <c r="A61" s="79">
        <f t="shared" si="0"/>
        <v>59</v>
      </c>
      <c r="B61" s="80" t="s">
        <v>1226</v>
      </c>
      <c r="C61" s="80" t="s">
        <v>1227</v>
      </c>
      <c r="D61" s="80" t="s">
        <v>1226</v>
      </c>
      <c r="E61" s="80" t="s">
        <v>196</v>
      </c>
      <c r="F61" s="79" t="s">
        <v>503</v>
      </c>
      <c r="G61" s="79" t="s">
        <v>459</v>
      </c>
      <c r="H61" s="79" t="s">
        <v>449</v>
      </c>
      <c r="I61" s="79" t="s">
        <v>450</v>
      </c>
      <c r="J61" s="79">
        <v>1</v>
      </c>
      <c r="K61" s="79">
        <v>0</v>
      </c>
      <c r="L61" s="79">
        <v>0</v>
      </c>
      <c r="M61" s="79" t="s">
        <v>451</v>
      </c>
      <c r="N61" s="79" t="s">
        <v>452</v>
      </c>
      <c r="O61" s="79" t="s">
        <v>453</v>
      </c>
      <c r="P61" s="79" t="s">
        <v>453</v>
      </c>
      <c r="Q61" s="79" t="s">
        <v>453</v>
      </c>
    </row>
    <row r="62" spans="1:17" ht="26.4">
      <c r="A62" s="79">
        <f t="shared" si="0"/>
        <v>60</v>
      </c>
      <c r="B62" s="80" t="s">
        <v>1264</v>
      </c>
      <c r="C62" s="80" t="s">
        <v>1265</v>
      </c>
      <c r="D62" s="80"/>
      <c r="E62" s="80" t="s">
        <v>1266</v>
      </c>
      <c r="F62" s="79" t="s">
        <v>976</v>
      </c>
      <c r="G62" s="79" t="s">
        <v>456</v>
      </c>
      <c r="H62" s="79">
        <v>0</v>
      </c>
      <c r="I62" s="79" t="s">
        <v>456</v>
      </c>
      <c r="J62" s="79">
        <v>12</v>
      </c>
      <c r="K62" s="79">
        <v>0</v>
      </c>
      <c r="L62" s="79">
        <v>0</v>
      </c>
      <c r="M62" s="79" t="s">
        <v>579</v>
      </c>
      <c r="N62" s="79" t="s">
        <v>977</v>
      </c>
      <c r="O62" s="79" t="s">
        <v>453</v>
      </c>
      <c r="P62" s="79" t="s">
        <v>453</v>
      </c>
      <c r="Q62" s="79" t="s">
        <v>453</v>
      </c>
    </row>
    <row r="63" spans="1:17">
      <c r="A63" s="79">
        <f t="shared" si="0"/>
        <v>61</v>
      </c>
      <c r="B63" s="80" t="s">
        <v>1271</v>
      </c>
      <c r="C63" s="80" t="s">
        <v>1272</v>
      </c>
      <c r="D63" s="80" t="s">
        <v>1271</v>
      </c>
      <c r="E63" s="80" t="s">
        <v>182</v>
      </c>
      <c r="F63" s="79" t="s">
        <v>503</v>
      </c>
      <c r="G63" s="79" t="s">
        <v>456</v>
      </c>
      <c r="H63" s="79">
        <v>0</v>
      </c>
      <c r="I63" s="79" t="s">
        <v>456</v>
      </c>
      <c r="J63" s="79">
        <v>4</v>
      </c>
      <c r="K63" s="79">
        <v>0</v>
      </c>
      <c r="L63" s="79">
        <v>0</v>
      </c>
      <c r="M63" s="79" t="s">
        <v>451</v>
      </c>
      <c r="N63" s="79" t="s">
        <v>452</v>
      </c>
      <c r="O63" s="79" t="s">
        <v>453</v>
      </c>
      <c r="P63" s="79" t="s">
        <v>453</v>
      </c>
      <c r="Q63" s="79" t="s">
        <v>453</v>
      </c>
    </row>
    <row r="64" spans="1:17">
      <c r="A64" s="79">
        <f t="shared" si="0"/>
        <v>62</v>
      </c>
      <c r="B64" s="80" t="s">
        <v>1289</v>
      </c>
      <c r="C64" s="80" t="s">
        <v>1290</v>
      </c>
      <c r="D64" s="80" t="s">
        <v>1289</v>
      </c>
      <c r="E64" s="80" t="s">
        <v>1291</v>
      </c>
      <c r="F64" s="79" t="s">
        <v>503</v>
      </c>
      <c r="G64" s="79" t="s">
        <v>468</v>
      </c>
      <c r="H64" s="79" t="s">
        <v>118</v>
      </c>
      <c r="I64" s="79" t="s">
        <v>450</v>
      </c>
      <c r="J64" s="79">
        <v>1</v>
      </c>
      <c r="K64" s="79">
        <v>0</v>
      </c>
      <c r="L64" s="79">
        <v>0</v>
      </c>
      <c r="M64" s="79" t="s">
        <v>451</v>
      </c>
      <c r="N64" s="79" t="s">
        <v>452</v>
      </c>
      <c r="O64" s="79" t="s">
        <v>453</v>
      </c>
      <c r="P64" s="79" t="s">
        <v>453</v>
      </c>
      <c r="Q64" s="79" t="s">
        <v>453</v>
      </c>
    </row>
    <row r="65" spans="1:17" ht="26.4">
      <c r="A65" s="79">
        <f t="shared" si="0"/>
        <v>63</v>
      </c>
      <c r="B65" s="80" t="s">
        <v>1348</v>
      </c>
      <c r="C65" s="80" t="s">
        <v>1349</v>
      </c>
      <c r="D65" s="80"/>
      <c r="E65" s="80" t="s">
        <v>1350</v>
      </c>
      <c r="F65" s="79" t="s">
        <v>976</v>
      </c>
      <c r="G65" s="79" t="s">
        <v>456</v>
      </c>
      <c r="H65" s="79">
        <v>0</v>
      </c>
      <c r="I65" s="79" t="s">
        <v>456</v>
      </c>
      <c r="J65" s="79">
        <v>12</v>
      </c>
      <c r="K65" s="79">
        <v>0</v>
      </c>
      <c r="L65" s="79">
        <v>0</v>
      </c>
      <c r="M65" s="79" t="s">
        <v>579</v>
      </c>
      <c r="N65" s="79" t="s">
        <v>977</v>
      </c>
      <c r="O65" s="79" t="s">
        <v>453</v>
      </c>
      <c r="P65" s="79" t="s">
        <v>453</v>
      </c>
      <c r="Q65" s="79" t="s">
        <v>453</v>
      </c>
    </row>
    <row r="66" spans="1:17" ht="26.4">
      <c r="A66" s="79">
        <f t="shared" si="0"/>
        <v>64</v>
      </c>
      <c r="B66" s="80" t="s">
        <v>1373</v>
      </c>
      <c r="C66" s="80" t="s">
        <v>1374</v>
      </c>
      <c r="D66" s="80" t="s">
        <v>1375</v>
      </c>
      <c r="E66" s="80" t="s">
        <v>1376</v>
      </c>
      <c r="F66" s="79" t="s">
        <v>503</v>
      </c>
      <c r="G66" s="79" t="s">
        <v>456</v>
      </c>
      <c r="H66" s="79">
        <v>0</v>
      </c>
      <c r="I66" s="79" t="s">
        <v>456</v>
      </c>
      <c r="J66" s="79">
        <v>10</v>
      </c>
      <c r="K66" s="79">
        <v>0</v>
      </c>
      <c r="L66" s="79">
        <v>0</v>
      </c>
      <c r="M66" s="79" t="s">
        <v>451</v>
      </c>
      <c r="N66" s="79" t="s">
        <v>452</v>
      </c>
      <c r="O66" s="79" t="s">
        <v>453</v>
      </c>
      <c r="P66" s="79" t="s">
        <v>453</v>
      </c>
      <c r="Q66" s="79" t="s">
        <v>453</v>
      </c>
    </row>
    <row r="67" spans="1:17">
      <c r="A67" s="79">
        <f t="shared" si="0"/>
        <v>65</v>
      </c>
      <c r="B67" s="80" t="s">
        <v>1419</v>
      </c>
      <c r="C67" s="80" t="s">
        <v>511</v>
      </c>
      <c r="D67" s="80"/>
      <c r="E67" s="80" t="s">
        <v>1420</v>
      </c>
      <c r="F67" s="79" t="s">
        <v>513</v>
      </c>
      <c r="G67" s="79" t="s">
        <v>456</v>
      </c>
      <c r="H67" s="79">
        <v>0</v>
      </c>
      <c r="I67" s="79" t="s">
        <v>456</v>
      </c>
      <c r="J67" s="79">
        <v>3</v>
      </c>
      <c r="K67" s="79">
        <v>3</v>
      </c>
      <c r="L67" s="79">
        <v>0</v>
      </c>
      <c r="M67" s="79" t="s">
        <v>514</v>
      </c>
      <c r="N67" s="79" t="s">
        <v>452</v>
      </c>
      <c r="O67" s="79" t="s">
        <v>452</v>
      </c>
      <c r="P67" s="79" t="s">
        <v>452</v>
      </c>
      <c r="Q67" s="79" t="s">
        <v>452</v>
      </c>
    </row>
    <row r="68" spans="1:17" ht="39.6">
      <c r="A68" s="79">
        <f t="shared" si="0"/>
        <v>66</v>
      </c>
      <c r="B68" s="80" t="s">
        <v>1421</v>
      </c>
      <c r="C68" s="80" t="s">
        <v>1422</v>
      </c>
      <c r="D68" s="80" t="s">
        <v>1421</v>
      </c>
      <c r="E68" s="80" t="s">
        <v>1423</v>
      </c>
      <c r="F68" s="79" t="s">
        <v>503</v>
      </c>
      <c r="G68" s="79" t="s">
        <v>456</v>
      </c>
      <c r="H68" s="79">
        <v>0</v>
      </c>
      <c r="I68" s="79" t="s">
        <v>456</v>
      </c>
      <c r="J68" s="79">
        <v>10</v>
      </c>
      <c r="K68" s="79">
        <v>0</v>
      </c>
      <c r="L68" s="79">
        <v>0</v>
      </c>
      <c r="M68" s="79" t="s">
        <v>451</v>
      </c>
      <c r="N68" s="79" t="s">
        <v>452</v>
      </c>
      <c r="O68" s="79" t="s">
        <v>453</v>
      </c>
      <c r="P68" s="79" t="s">
        <v>453</v>
      </c>
      <c r="Q68" s="79" t="s">
        <v>453</v>
      </c>
    </row>
    <row r="69" spans="1:17">
      <c r="A69" s="79">
        <f t="shared" ref="A69:A102" si="1">+A68+1</f>
        <v>67</v>
      </c>
      <c r="B69" s="80" t="s">
        <v>1433</v>
      </c>
      <c r="C69" s="80" t="s">
        <v>511</v>
      </c>
      <c r="D69" s="80"/>
      <c r="E69" s="80" t="s">
        <v>1434</v>
      </c>
      <c r="F69" s="79" t="s">
        <v>513</v>
      </c>
      <c r="G69" s="79" t="s">
        <v>456</v>
      </c>
      <c r="H69" s="79">
        <v>0</v>
      </c>
      <c r="I69" s="79" t="s">
        <v>456</v>
      </c>
      <c r="J69" s="79">
        <v>5</v>
      </c>
      <c r="K69" s="79">
        <v>0</v>
      </c>
      <c r="L69" s="79">
        <v>0</v>
      </c>
      <c r="M69" s="79" t="s">
        <v>514</v>
      </c>
      <c r="N69" s="79" t="s">
        <v>452</v>
      </c>
      <c r="O69" s="79" t="s">
        <v>452</v>
      </c>
      <c r="P69" s="79" t="s">
        <v>452</v>
      </c>
      <c r="Q69" s="79" t="s">
        <v>452</v>
      </c>
    </row>
    <row r="70" spans="1:17">
      <c r="A70" s="79">
        <f t="shared" si="1"/>
        <v>68</v>
      </c>
      <c r="B70" s="80" t="s">
        <v>1435</v>
      </c>
      <c r="C70" s="80" t="s">
        <v>511</v>
      </c>
      <c r="D70" s="80"/>
      <c r="E70" s="80" t="s">
        <v>1436</v>
      </c>
      <c r="F70" s="79" t="s">
        <v>513</v>
      </c>
      <c r="G70" s="79" t="s">
        <v>456</v>
      </c>
      <c r="H70" s="79">
        <v>0</v>
      </c>
      <c r="I70" s="79" t="s">
        <v>456</v>
      </c>
      <c r="J70" s="79">
        <v>5</v>
      </c>
      <c r="K70" s="79">
        <v>0</v>
      </c>
      <c r="L70" s="79">
        <v>0</v>
      </c>
      <c r="M70" s="79" t="s">
        <v>514</v>
      </c>
      <c r="N70" s="79" t="s">
        <v>452</v>
      </c>
      <c r="O70" s="79" t="s">
        <v>452</v>
      </c>
      <c r="P70" s="79" t="s">
        <v>452</v>
      </c>
      <c r="Q70" s="79" t="s">
        <v>452</v>
      </c>
    </row>
    <row r="71" spans="1:17">
      <c r="A71" s="79">
        <f t="shared" si="1"/>
        <v>69</v>
      </c>
      <c r="B71" s="80" t="s">
        <v>1437</v>
      </c>
      <c r="C71" s="80" t="s">
        <v>511</v>
      </c>
      <c r="D71" s="80"/>
      <c r="E71" s="80" t="s">
        <v>1438</v>
      </c>
      <c r="F71" s="79" t="s">
        <v>513</v>
      </c>
      <c r="G71" s="79" t="s">
        <v>456</v>
      </c>
      <c r="H71" s="79">
        <v>0</v>
      </c>
      <c r="I71" s="79" t="s">
        <v>456</v>
      </c>
      <c r="J71" s="79">
        <v>7</v>
      </c>
      <c r="K71" s="79">
        <v>2</v>
      </c>
      <c r="L71" s="79">
        <v>0</v>
      </c>
      <c r="M71" s="79" t="s">
        <v>514</v>
      </c>
      <c r="N71" s="79" t="s">
        <v>452</v>
      </c>
      <c r="O71" s="79" t="s">
        <v>452</v>
      </c>
      <c r="P71" s="79" t="s">
        <v>452</v>
      </c>
      <c r="Q71" s="79" t="s">
        <v>452</v>
      </c>
    </row>
    <row r="72" spans="1:17">
      <c r="A72" s="79">
        <f t="shared" si="1"/>
        <v>70</v>
      </c>
      <c r="B72" s="80" t="s">
        <v>1439</v>
      </c>
      <c r="C72" s="80" t="s">
        <v>511</v>
      </c>
      <c r="D72" s="80"/>
      <c r="E72" s="80" t="s">
        <v>1440</v>
      </c>
      <c r="F72" s="79" t="s">
        <v>513</v>
      </c>
      <c r="G72" s="79" t="s">
        <v>456</v>
      </c>
      <c r="H72" s="79">
        <v>0</v>
      </c>
      <c r="I72" s="79" t="s">
        <v>456</v>
      </c>
      <c r="J72" s="79">
        <v>7</v>
      </c>
      <c r="K72" s="79">
        <v>2</v>
      </c>
      <c r="L72" s="79">
        <v>0</v>
      </c>
      <c r="M72" s="79" t="s">
        <v>514</v>
      </c>
      <c r="N72" s="79" t="s">
        <v>452</v>
      </c>
      <c r="O72" s="79" t="s">
        <v>452</v>
      </c>
      <c r="P72" s="79" t="s">
        <v>452</v>
      </c>
      <c r="Q72" s="79" t="s">
        <v>452</v>
      </c>
    </row>
    <row r="73" spans="1:17">
      <c r="A73" s="79">
        <f t="shared" si="1"/>
        <v>71</v>
      </c>
      <c r="B73" s="80" t="s">
        <v>1484</v>
      </c>
      <c r="C73" s="80" t="s">
        <v>1485</v>
      </c>
      <c r="D73" s="80" t="s">
        <v>1484</v>
      </c>
      <c r="E73" s="80" t="s">
        <v>1486</v>
      </c>
      <c r="F73" s="79" t="s">
        <v>503</v>
      </c>
      <c r="G73" s="79" t="s">
        <v>468</v>
      </c>
      <c r="H73" s="79" t="s">
        <v>118</v>
      </c>
      <c r="I73" s="79" t="s">
        <v>450</v>
      </c>
      <c r="J73" s="79">
        <v>1</v>
      </c>
      <c r="K73" s="79">
        <v>0</v>
      </c>
      <c r="L73" s="79">
        <v>0</v>
      </c>
      <c r="M73" s="79" t="s">
        <v>451</v>
      </c>
      <c r="N73" s="79" t="s">
        <v>452</v>
      </c>
      <c r="O73" s="79" t="s">
        <v>453</v>
      </c>
      <c r="P73" s="79" t="s">
        <v>453</v>
      </c>
      <c r="Q73" s="79" t="s">
        <v>453</v>
      </c>
    </row>
    <row r="74" spans="1:17" ht="66">
      <c r="A74" s="79">
        <f t="shared" si="1"/>
        <v>72</v>
      </c>
      <c r="B74" s="80" t="s">
        <v>1490</v>
      </c>
      <c r="C74" s="80" t="s">
        <v>1491</v>
      </c>
      <c r="D74" s="80" t="s">
        <v>1490</v>
      </c>
      <c r="E74" s="80" t="s">
        <v>1492</v>
      </c>
      <c r="F74" s="79" t="s">
        <v>976</v>
      </c>
      <c r="G74" s="79" t="s">
        <v>1493</v>
      </c>
      <c r="H74" s="79" t="s">
        <v>449</v>
      </c>
      <c r="I74" s="79" t="s">
        <v>450</v>
      </c>
      <c r="J74" s="79">
        <v>1</v>
      </c>
      <c r="K74" s="79">
        <v>0</v>
      </c>
      <c r="L74" s="79">
        <v>0</v>
      </c>
      <c r="M74" s="79" t="s">
        <v>451</v>
      </c>
      <c r="N74" s="79" t="s">
        <v>977</v>
      </c>
      <c r="O74" s="79" t="s">
        <v>453</v>
      </c>
      <c r="P74" s="79" t="s">
        <v>453</v>
      </c>
      <c r="Q74" s="79" t="s">
        <v>453</v>
      </c>
    </row>
    <row r="75" spans="1:17" ht="26.4">
      <c r="A75" s="79">
        <f t="shared" si="1"/>
        <v>73</v>
      </c>
      <c r="B75" s="80" t="s">
        <v>1497</v>
      </c>
      <c r="C75" s="80" t="s">
        <v>1159</v>
      </c>
      <c r="D75" s="80" t="s">
        <v>1498</v>
      </c>
      <c r="E75" s="80" t="s">
        <v>1499</v>
      </c>
      <c r="F75" s="79" t="s">
        <v>976</v>
      </c>
      <c r="G75" s="79" t="s">
        <v>456</v>
      </c>
      <c r="H75" s="79">
        <v>0</v>
      </c>
      <c r="I75" s="79" t="s">
        <v>456</v>
      </c>
      <c r="J75" s="79">
        <v>12</v>
      </c>
      <c r="K75" s="79">
        <v>0</v>
      </c>
      <c r="L75" s="79">
        <v>0</v>
      </c>
      <c r="M75" s="79" t="s">
        <v>579</v>
      </c>
      <c r="N75" s="79" t="s">
        <v>977</v>
      </c>
      <c r="O75" s="79" t="s">
        <v>453</v>
      </c>
      <c r="P75" s="79" t="s">
        <v>453</v>
      </c>
      <c r="Q75" s="79" t="s">
        <v>453</v>
      </c>
    </row>
    <row r="76" spans="1:17" ht="26.4">
      <c r="A76" s="79">
        <f t="shared" si="1"/>
        <v>74</v>
      </c>
      <c r="B76" s="80" t="s">
        <v>1501</v>
      </c>
      <c r="C76" s="80" t="s">
        <v>1502</v>
      </c>
      <c r="D76" s="80" t="s">
        <v>1501</v>
      </c>
      <c r="E76" s="80" t="s">
        <v>1503</v>
      </c>
      <c r="F76" s="79" t="s">
        <v>976</v>
      </c>
      <c r="G76" s="79" t="s">
        <v>456</v>
      </c>
      <c r="H76" s="79">
        <v>0</v>
      </c>
      <c r="I76" s="79" t="s">
        <v>456</v>
      </c>
      <c r="J76" s="79">
        <v>4</v>
      </c>
      <c r="K76" s="79">
        <v>0</v>
      </c>
      <c r="L76" s="79">
        <v>0</v>
      </c>
      <c r="M76" s="79" t="s">
        <v>579</v>
      </c>
      <c r="N76" s="79" t="s">
        <v>977</v>
      </c>
      <c r="O76" s="79" t="s">
        <v>453</v>
      </c>
      <c r="P76" s="79" t="s">
        <v>453</v>
      </c>
      <c r="Q76" s="79" t="s">
        <v>453</v>
      </c>
    </row>
    <row r="77" spans="1:17" ht="26.4">
      <c r="A77" s="79">
        <f t="shared" si="1"/>
        <v>75</v>
      </c>
      <c r="B77" s="80" t="s">
        <v>1524</v>
      </c>
      <c r="C77" s="80" t="s">
        <v>1502</v>
      </c>
      <c r="D77" s="80" t="s">
        <v>1524</v>
      </c>
      <c r="E77" s="80" t="s">
        <v>1525</v>
      </c>
      <c r="F77" s="79" t="s">
        <v>976</v>
      </c>
      <c r="G77" s="79" t="s">
        <v>456</v>
      </c>
      <c r="H77" s="79">
        <v>0</v>
      </c>
      <c r="I77" s="79" t="s">
        <v>456</v>
      </c>
      <c r="J77" s="79">
        <v>4</v>
      </c>
      <c r="K77" s="79">
        <v>0</v>
      </c>
      <c r="L77" s="79">
        <v>0</v>
      </c>
      <c r="M77" s="79" t="s">
        <v>579</v>
      </c>
      <c r="N77" s="79" t="s">
        <v>977</v>
      </c>
      <c r="O77" s="79" t="s">
        <v>453</v>
      </c>
      <c r="P77" s="79" t="s">
        <v>453</v>
      </c>
      <c r="Q77" s="79" t="s">
        <v>453</v>
      </c>
    </row>
    <row r="78" spans="1:17" ht="26.4">
      <c r="A78" s="79">
        <f t="shared" si="1"/>
        <v>76</v>
      </c>
      <c r="B78" s="80" t="s">
        <v>1527</v>
      </c>
      <c r="C78" s="80" t="s">
        <v>1502</v>
      </c>
      <c r="D78" s="80" t="s">
        <v>1527</v>
      </c>
      <c r="E78" s="80" t="s">
        <v>1528</v>
      </c>
      <c r="F78" s="79" t="s">
        <v>976</v>
      </c>
      <c r="G78" s="79" t="s">
        <v>456</v>
      </c>
      <c r="H78" s="79">
        <v>0</v>
      </c>
      <c r="I78" s="79" t="s">
        <v>456</v>
      </c>
      <c r="J78" s="79">
        <v>4</v>
      </c>
      <c r="K78" s="79">
        <v>0</v>
      </c>
      <c r="L78" s="79">
        <v>0</v>
      </c>
      <c r="M78" s="79" t="s">
        <v>579</v>
      </c>
      <c r="N78" s="79" t="s">
        <v>977</v>
      </c>
      <c r="O78" s="79" t="s">
        <v>453</v>
      </c>
      <c r="P78" s="79" t="s">
        <v>453</v>
      </c>
      <c r="Q78" s="79" t="s">
        <v>453</v>
      </c>
    </row>
    <row r="79" spans="1:17">
      <c r="A79" s="79">
        <f t="shared" si="1"/>
        <v>77</v>
      </c>
      <c r="B79" s="80" t="s">
        <v>1538</v>
      </c>
      <c r="C79" s="80" t="s">
        <v>1539</v>
      </c>
      <c r="D79" s="80" t="s">
        <v>1538</v>
      </c>
      <c r="E79" s="80" t="s">
        <v>1540</v>
      </c>
      <c r="F79" s="79" t="s">
        <v>976</v>
      </c>
      <c r="G79" s="79" t="s">
        <v>456</v>
      </c>
      <c r="H79" s="79">
        <v>0</v>
      </c>
      <c r="I79" s="79" t="s">
        <v>456</v>
      </c>
      <c r="J79" s="79">
        <v>12</v>
      </c>
      <c r="K79" s="79">
        <v>0</v>
      </c>
      <c r="L79" s="79">
        <v>0</v>
      </c>
      <c r="M79" s="79" t="s">
        <v>579</v>
      </c>
      <c r="N79" s="79" t="s">
        <v>977</v>
      </c>
      <c r="O79" s="79" t="s">
        <v>453</v>
      </c>
      <c r="P79" s="79" t="s">
        <v>453</v>
      </c>
      <c r="Q79" s="79" t="s">
        <v>453</v>
      </c>
    </row>
    <row r="80" spans="1:17">
      <c r="A80" s="79">
        <f t="shared" si="1"/>
        <v>78</v>
      </c>
      <c r="B80" s="80" t="s">
        <v>1541</v>
      </c>
      <c r="C80" s="80" t="s">
        <v>511</v>
      </c>
      <c r="D80" s="80"/>
      <c r="E80" s="80" t="s">
        <v>1542</v>
      </c>
      <c r="F80" s="79" t="s">
        <v>513</v>
      </c>
      <c r="H80" s="79" t="s">
        <v>449</v>
      </c>
      <c r="I80" s="79" t="s">
        <v>450</v>
      </c>
      <c r="J80" s="79">
        <v>4</v>
      </c>
      <c r="K80" s="79">
        <v>0</v>
      </c>
      <c r="L80" s="79">
        <v>10</v>
      </c>
      <c r="M80" s="79" t="s">
        <v>514</v>
      </c>
      <c r="N80" s="79" t="s">
        <v>452</v>
      </c>
      <c r="O80" s="79" t="s">
        <v>452</v>
      </c>
    </row>
    <row r="81" spans="1:17" ht="26.4">
      <c r="A81" s="79">
        <f t="shared" si="1"/>
        <v>79</v>
      </c>
      <c r="B81" s="80" t="s">
        <v>1544</v>
      </c>
      <c r="C81" s="80" t="s">
        <v>1545</v>
      </c>
      <c r="D81" s="80"/>
      <c r="E81" s="79" t="s">
        <v>1546</v>
      </c>
      <c r="F81" s="79" t="s">
        <v>513</v>
      </c>
      <c r="G81" s="79" t="s">
        <v>468</v>
      </c>
      <c r="H81" s="79" t="s">
        <v>449</v>
      </c>
      <c r="I81" s="79" t="s">
        <v>450</v>
      </c>
      <c r="J81" s="79">
        <v>1</v>
      </c>
      <c r="K81" s="79">
        <v>0</v>
      </c>
      <c r="L81" s="79">
        <v>0</v>
      </c>
      <c r="M81" s="79" t="s">
        <v>514</v>
      </c>
      <c r="N81" s="79" t="s">
        <v>452</v>
      </c>
      <c r="O81" s="79" t="s">
        <v>452</v>
      </c>
    </row>
    <row r="82" spans="1:17" ht="26.4">
      <c r="A82" s="79">
        <f t="shared" si="1"/>
        <v>80</v>
      </c>
      <c r="B82" s="80" t="s">
        <v>1563</v>
      </c>
      <c r="C82" s="80" t="s">
        <v>1564</v>
      </c>
      <c r="D82" s="80" t="s">
        <v>1563</v>
      </c>
      <c r="E82" s="80" t="s">
        <v>1565</v>
      </c>
      <c r="F82" s="79" t="s">
        <v>976</v>
      </c>
      <c r="G82" s="79" t="s">
        <v>456</v>
      </c>
      <c r="H82" s="79">
        <v>0</v>
      </c>
      <c r="I82" s="79" t="s">
        <v>456</v>
      </c>
      <c r="J82" s="79">
        <v>4</v>
      </c>
      <c r="K82" s="79">
        <v>0</v>
      </c>
      <c r="L82" s="79">
        <v>0</v>
      </c>
      <c r="M82" s="79" t="s">
        <v>579</v>
      </c>
      <c r="N82" s="79" t="s">
        <v>977</v>
      </c>
      <c r="O82" s="79" t="s">
        <v>453</v>
      </c>
      <c r="P82" s="79" t="s">
        <v>453</v>
      </c>
      <c r="Q82" s="79" t="s">
        <v>453</v>
      </c>
    </row>
    <row r="83" spans="1:17" ht="26.4">
      <c r="A83" s="79">
        <f t="shared" si="1"/>
        <v>81</v>
      </c>
      <c r="B83" s="80" t="s">
        <v>1570</v>
      </c>
      <c r="C83" s="80" t="s">
        <v>1571</v>
      </c>
      <c r="D83" s="80" t="s">
        <v>1570</v>
      </c>
      <c r="E83" s="80" t="s">
        <v>1572</v>
      </c>
      <c r="F83" s="79" t="s">
        <v>976</v>
      </c>
      <c r="G83" s="79" t="s">
        <v>456</v>
      </c>
      <c r="H83" s="79">
        <v>0</v>
      </c>
      <c r="I83" s="79" t="s">
        <v>456</v>
      </c>
      <c r="J83" s="79">
        <v>4</v>
      </c>
      <c r="K83" s="79">
        <v>0</v>
      </c>
      <c r="L83" s="79">
        <v>0</v>
      </c>
      <c r="M83" s="79" t="s">
        <v>579</v>
      </c>
      <c r="N83" s="79" t="s">
        <v>977</v>
      </c>
      <c r="O83" s="79" t="s">
        <v>453</v>
      </c>
      <c r="P83" s="79" t="s">
        <v>453</v>
      </c>
      <c r="Q83" s="79" t="s">
        <v>453</v>
      </c>
    </row>
    <row r="84" spans="1:17">
      <c r="A84" s="79">
        <f t="shared" si="1"/>
        <v>82</v>
      </c>
      <c r="B84" s="80" t="s">
        <v>1616</v>
      </c>
      <c r="C84" s="80" t="s">
        <v>1617</v>
      </c>
      <c r="D84" s="80" t="s">
        <v>1616</v>
      </c>
      <c r="E84" s="80" t="s">
        <v>266</v>
      </c>
      <c r="F84" s="79" t="s">
        <v>629</v>
      </c>
      <c r="G84" s="79" t="s">
        <v>456</v>
      </c>
      <c r="H84" s="79">
        <v>0</v>
      </c>
      <c r="I84" s="79" t="s">
        <v>456</v>
      </c>
      <c r="J84" s="79">
        <v>10</v>
      </c>
      <c r="K84" s="79">
        <v>0</v>
      </c>
      <c r="L84" s="79">
        <v>0</v>
      </c>
      <c r="M84" s="79" t="s">
        <v>451</v>
      </c>
      <c r="N84" s="79" t="s">
        <v>452</v>
      </c>
      <c r="O84" s="79" t="s">
        <v>453</v>
      </c>
      <c r="P84" s="79" t="s">
        <v>453</v>
      </c>
      <c r="Q84" s="79" t="s">
        <v>453</v>
      </c>
    </row>
    <row r="85" spans="1:17" ht="39.6">
      <c r="A85" s="79">
        <f t="shared" si="1"/>
        <v>83</v>
      </c>
      <c r="B85" s="80" t="s">
        <v>90</v>
      </c>
      <c r="C85" s="80" t="s">
        <v>1628</v>
      </c>
      <c r="D85" s="80" t="s">
        <v>1629</v>
      </c>
      <c r="E85" s="80" t="s">
        <v>254</v>
      </c>
      <c r="F85" s="79" t="s">
        <v>629</v>
      </c>
      <c r="G85" s="79" t="s">
        <v>1630</v>
      </c>
      <c r="H85" s="79" t="s">
        <v>449</v>
      </c>
      <c r="I85" s="79" t="s">
        <v>450</v>
      </c>
      <c r="J85" s="79">
        <v>3</v>
      </c>
      <c r="K85" s="79">
        <v>0</v>
      </c>
      <c r="L85" s="79">
        <v>0</v>
      </c>
      <c r="M85" s="79" t="s">
        <v>451</v>
      </c>
      <c r="N85" s="79" t="s">
        <v>452</v>
      </c>
      <c r="O85" s="79" t="s">
        <v>453</v>
      </c>
      <c r="P85" s="79" t="s">
        <v>453</v>
      </c>
      <c r="Q85" s="79" t="s">
        <v>453</v>
      </c>
    </row>
    <row r="86" spans="1:17">
      <c r="A86" s="79">
        <f t="shared" si="1"/>
        <v>84</v>
      </c>
      <c r="B86" s="80" t="s">
        <v>1638</v>
      </c>
      <c r="C86" s="80" t="s">
        <v>511</v>
      </c>
      <c r="D86" s="80"/>
      <c r="E86" s="80" t="s">
        <v>1639</v>
      </c>
      <c r="F86" s="79" t="s">
        <v>513</v>
      </c>
      <c r="H86" s="79" t="s">
        <v>449</v>
      </c>
      <c r="I86" s="79" t="s">
        <v>450</v>
      </c>
      <c r="J86" s="79">
        <v>20</v>
      </c>
      <c r="K86" s="79">
        <v>0</v>
      </c>
      <c r="L86" s="79">
        <v>0</v>
      </c>
      <c r="M86" s="79" t="s">
        <v>514</v>
      </c>
      <c r="N86" s="79" t="s">
        <v>452</v>
      </c>
      <c r="Q86" s="79" t="s">
        <v>452</v>
      </c>
    </row>
    <row r="87" spans="1:17" ht="26.4">
      <c r="A87" s="79">
        <f t="shared" si="1"/>
        <v>85</v>
      </c>
      <c r="B87" s="80" t="s">
        <v>1646</v>
      </c>
      <c r="C87" s="80" t="s">
        <v>1647</v>
      </c>
      <c r="D87" s="80" t="s">
        <v>1646</v>
      </c>
      <c r="E87" s="80" t="s">
        <v>1648</v>
      </c>
      <c r="F87" s="79" t="s">
        <v>629</v>
      </c>
      <c r="G87" s="79" t="s">
        <v>459</v>
      </c>
      <c r="H87" s="79" t="s">
        <v>449</v>
      </c>
      <c r="I87" s="79" t="s">
        <v>450</v>
      </c>
      <c r="J87" s="79">
        <v>1</v>
      </c>
      <c r="K87" s="79">
        <v>0</v>
      </c>
      <c r="L87" s="79">
        <v>0</v>
      </c>
      <c r="M87" s="79" t="s">
        <v>451</v>
      </c>
      <c r="N87" s="79" t="s">
        <v>452</v>
      </c>
      <c r="O87" s="79" t="s">
        <v>453</v>
      </c>
      <c r="P87" s="79" t="s">
        <v>453</v>
      </c>
      <c r="Q87" s="79" t="s">
        <v>453</v>
      </c>
    </row>
    <row r="88" spans="1:17">
      <c r="A88" s="79">
        <f t="shared" si="1"/>
        <v>86</v>
      </c>
      <c r="B88" s="80" t="s">
        <v>1649</v>
      </c>
      <c r="C88" s="80" t="s">
        <v>511</v>
      </c>
      <c r="D88" s="80"/>
      <c r="E88" s="80"/>
      <c r="F88" s="79" t="s">
        <v>513</v>
      </c>
      <c r="G88" s="79" t="s">
        <v>459</v>
      </c>
      <c r="H88" s="79" t="s">
        <v>449</v>
      </c>
      <c r="I88" s="79" t="s">
        <v>450</v>
      </c>
      <c r="J88" s="79">
        <v>2</v>
      </c>
      <c r="K88" s="79">
        <v>0</v>
      </c>
      <c r="L88" s="79">
        <v>0</v>
      </c>
      <c r="M88" s="79" t="s">
        <v>514</v>
      </c>
      <c r="N88" s="79" t="s">
        <v>452</v>
      </c>
      <c r="Q88" s="79" t="s">
        <v>452</v>
      </c>
    </row>
    <row r="89" spans="1:17">
      <c r="A89" s="79">
        <f t="shared" si="1"/>
        <v>87</v>
      </c>
      <c r="B89" s="80" t="s">
        <v>1650</v>
      </c>
      <c r="C89" s="80" t="s">
        <v>511</v>
      </c>
      <c r="D89" s="80"/>
      <c r="E89" s="80" t="s">
        <v>1651</v>
      </c>
      <c r="F89" s="79" t="s">
        <v>513</v>
      </c>
      <c r="G89" s="79" t="s">
        <v>468</v>
      </c>
    </row>
    <row r="90" spans="1:17">
      <c r="A90" s="79">
        <f t="shared" si="1"/>
        <v>88</v>
      </c>
      <c r="B90" s="80" t="s">
        <v>1652</v>
      </c>
      <c r="C90" s="80"/>
      <c r="D90" s="80"/>
      <c r="E90" s="80"/>
    </row>
    <row r="91" spans="1:17" ht="26.4">
      <c r="A91" s="79">
        <f t="shared" si="1"/>
        <v>89</v>
      </c>
      <c r="B91" s="80" t="s">
        <v>1653</v>
      </c>
      <c r="C91" s="80"/>
      <c r="D91" s="80"/>
      <c r="E91" s="80" t="s">
        <v>1654</v>
      </c>
      <c r="F91" s="79" t="s">
        <v>1655</v>
      </c>
      <c r="G91" s="79" t="s">
        <v>468</v>
      </c>
      <c r="H91" s="79" t="s">
        <v>449</v>
      </c>
      <c r="I91" s="79" t="s">
        <v>450</v>
      </c>
    </row>
    <row r="92" spans="1:17">
      <c r="A92" s="79">
        <f t="shared" si="1"/>
        <v>90</v>
      </c>
      <c r="B92" s="80" t="s">
        <v>1656</v>
      </c>
    </row>
    <row r="93" spans="1:17" ht="26.4">
      <c r="A93" s="79">
        <f t="shared" si="1"/>
        <v>91</v>
      </c>
      <c r="B93" s="80" t="s">
        <v>1375</v>
      </c>
      <c r="C93" s="79" t="s">
        <v>1657</v>
      </c>
      <c r="E93" s="80" t="s">
        <v>1658</v>
      </c>
      <c r="F93" s="79" t="s">
        <v>503</v>
      </c>
      <c r="G93" s="79" t="s">
        <v>456</v>
      </c>
      <c r="H93" s="79">
        <v>0</v>
      </c>
      <c r="I93" s="79" t="s">
        <v>456</v>
      </c>
      <c r="J93" s="79">
        <v>10</v>
      </c>
      <c r="K93" s="79">
        <v>0</v>
      </c>
      <c r="L93" s="79">
        <v>0</v>
      </c>
      <c r="M93" s="79" t="s">
        <v>451</v>
      </c>
      <c r="N93" s="79" t="s">
        <v>452</v>
      </c>
      <c r="O93" s="79" t="s">
        <v>452</v>
      </c>
      <c r="P93" s="79" t="s">
        <v>453</v>
      </c>
      <c r="Q93" s="79" t="s">
        <v>453</v>
      </c>
    </row>
    <row r="94" spans="1:17">
      <c r="A94" s="79">
        <f t="shared" si="1"/>
        <v>92</v>
      </c>
      <c r="B94" s="80" t="s">
        <v>1659</v>
      </c>
      <c r="C94" s="80" t="s">
        <v>1660</v>
      </c>
      <c r="D94" s="80" t="s">
        <v>1661</v>
      </c>
      <c r="E94" s="80" t="s">
        <v>1662</v>
      </c>
      <c r="F94" s="79" t="s">
        <v>503</v>
      </c>
      <c r="G94" s="79" t="s">
        <v>456</v>
      </c>
      <c r="H94" s="79">
        <v>0</v>
      </c>
      <c r="I94" s="79" t="s">
        <v>456</v>
      </c>
      <c r="J94" s="79">
        <v>10</v>
      </c>
      <c r="K94" s="79">
        <v>0</v>
      </c>
      <c r="L94" s="79">
        <v>0</v>
      </c>
      <c r="M94" s="79" t="s">
        <v>451</v>
      </c>
      <c r="N94" s="79" t="s">
        <v>452</v>
      </c>
      <c r="O94" s="79" t="s">
        <v>453</v>
      </c>
      <c r="P94" s="79" t="s">
        <v>453</v>
      </c>
      <c r="Q94" s="79" t="s">
        <v>453</v>
      </c>
    </row>
    <row r="95" spans="1:17">
      <c r="A95" s="79">
        <f t="shared" si="1"/>
        <v>93</v>
      </c>
      <c r="B95" s="79" t="s">
        <v>1663</v>
      </c>
      <c r="C95" s="79" t="s">
        <v>1664</v>
      </c>
      <c r="E95" s="79" t="s">
        <v>1663</v>
      </c>
      <c r="G95" s="79" t="s">
        <v>1665</v>
      </c>
    </row>
    <row r="96" spans="1:17" s="79" customFormat="1">
      <c r="A96" s="79">
        <f t="shared" si="1"/>
        <v>94</v>
      </c>
      <c r="B96" s="79" t="s">
        <v>1666</v>
      </c>
      <c r="E96" s="79" t="s">
        <v>1667</v>
      </c>
      <c r="F96" s="79" t="s">
        <v>513</v>
      </c>
      <c r="G96" s="79" t="s">
        <v>468</v>
      </c>
    </row>
    <row r="97" spans="1:7" s="79" customFormat="1">
      <c r="A97" s="79">
        <f t="shared" si="1"/>
        <v>95</v>
      </c>
      <c r="B97" s="79" t="s">
        <v>1668</v>
      </c>
      <c r="E97" s="79" t="s">
        <v>1668</v>
      </c>
      <c r="F97" s="79" t="s">
        <v>1655</v>
      </c>
    </row>
    <row r="98" spans="1:7" s="79" customFormat="1">
      <c r="A98" s="79">
        <f t="shared" si="1"/>
        <v>96</v>
      </c>
      <c r="B98" s="79" t="s">
        <v>1669</v>
      </c>
      <c r="E98" s="79" t="s">
        <v>1669</v>
      </c>
      <c r="F98" s="79" t="s">
        <v>1655</v>
      </c>
    </row>
    <row r="99" spans="1:7" s="79" customFormat="1" ht="100.8">
      <c r="A99" s="79">
        <f t="shared" si="1"/>
        <v>97</v>
      </c>
      <c r="B99" s="79" t="s">
        <v>1670</v>
      </c>
      <c r="C99" s="169" t="s">
        <v>392</v>
      </c>
      <c r="E99" s="79" t="s">
        <v>1670</v>
      </c>
      <c r="F99" s="79" t="s">
        <v>1655</v>
      </c>
      <c r="G99" s="79" t="s">
        <v>468</v>
      </c>
    </row>
    <row r="100" spans="1:7" s="79" customFormat="1" ht="100.8">
      <c r="A100" s="79">
        <f t="shared" si="1"/>
        <v>98</v>
      </c>
      <c r="B100" s="79" t="s">
        <v>1671</v>
      </c>
      <c r="C100" s="169" t="s">
        <v>392</v>
      </c>
      <c r="E100" s="79" t="s">
        <v>1671</v>
      </c>
      <c r="F100" s="79" t="s">
        <v>1655</v>
      </c>
      <c r="G100" s="79" t="s">
        <v>468</v>
      </c>
    </row>
    <row r="101" spans="1:7" s="79" customFormat="1" ht="100.8">
      <c r="A101" s="79">
        <f t="shared" si="1"/>
        <v>99</v>
      </c>
      <c r="B101" s="79" t="s">
        <v>1672</v>
      </c>
      <c r="C101" s="169" t="s">
        <v>392</v>
      </c>
      <c r="E101" s="79" t="s">
        <v>1672</v>
      </c>
      <c r="F101" s="79" t="s">
        <v>1655</v>
      </c>
      <c r="G101" s="79" t="s">
        <v>468</v>
      </c>
    </row>
    <row r="102" spans="1:7" s="79" customFormat="1" ht="100.8">
      <c r="A102" s="79">
        <f t="shared" si="1"/>
        <v>100</v>
      </c>
      <c r="B102" s="79" t="s">
        <v>1673</v>
      </c>
      <c r="C102" s="169" t="s">
        <v>392</v>
      </c>
      <c r="E102" s="79" t="s">
        <v>1673</v>
      </c>
      <c r="F102" s="79" t="s">
        <v>1655</v>
      </c>
      <c r="G102" s="79" t="s">
        <v>468</v>
      </c>
    </row>
  </sheetData>
  <autoFilter ref="A2:Q97" xr:uid="{00000000-0001-0000-0000-000000000000}"/>
  <mergeCells count="1">
    <mergeCell ref="A1:Q1"/>
  </mergeCells>
  <pageMargins left="0.7" right="0.7" top="0.75" bottom="0.75" header="0.3" footer="0.3"/>
  <pageSetup scale="35" fitToHeight="0"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BAE83-CF85-4EC8-BFAA-5D9887316504}">
  <sheetPr>
    <tabColor rgb="FFFF0000"/>
  </sheetPr>
  <dimension ref="A1:AO248"/>
  <sheetViews>
    <sheetView topLeftCell="I1" zoomScale="67" zoomScaleNormal="67" zoomScalePageLayoutView="115" workbookViewId="0">
      <selection activeCell="R30" sqref="R30"/>
    </sheetView>
  </sheetViews>
  <sheetFormatPr defaultColWidth="12.5546875" defaultRowHeight="15"/>
  <cols>
    <col min="1" max="1" width="11.5546875" style="68" customWidth="1"/>
    <col min="2" max="3" width="21.21875" style="69" customWidth="1"/>
    <col min="4" max="4" width="20.5546875" style="69" bestFit="1" customWidth="1"/>
    <col min="5" max="5" width="12.5546875" style="69"/>
    <col min="6" max="6" width="20.5546875" style="69" bestFit="1" customWidth="1"/>
    <col min="7" max="7" width="12.5546875" style="69"/>
    <col min="8" max="8" width="21.77734375" style="69" bestFit="1" customWidth="1"/>
    <col min="9" max="9" width="6.21875" style="69" bestFit="1" customWidth="1"/>
    <col min="10" max="10" width="32" style="69" customWidth="1"/>
    <col min="11" max="11" width="6.21875" style="69" customWidth="1"/>
    <col min="12" max="12" width="26.77734375" style="69" bestFit="1" customWidth="1"/>
    <col min="13" max="13" width="6.21875" style="69" bestFit="1" customWidth="1"/>
    <col min="14" max="14" width="43.5546875" style="69" customWidth="1"/>
    <col min="15" max="15" width="11" style="68" customWidth="1"/>
    <col min="16" max="16" width="15.77734375" style="69" bestFit="1" customWidth="1"/>
    <col min="17" max="17" width="6.21875" style="69" bestFit="1" customWidth="1"/>
    <col min="18" max="18" width="19" style="69" bestFit="1" customWidth="1"/>
    <col min="19" max="19" width="6.21875" style="69" bestFit="1" customWidth="1"/>
    <col min="20" max="20" width="27.77734375" style="69" customWidth="1"/>
    <col min="21" max="21" width="6.21875" style="69" bestFit="1" customWidth="1"/>
    <col min="22" max="22" width="24.44140625" style="69" bestFit="1" customWidth="1"/>
    <col min="23" max="23" width="6.21875" style="69" bestFit="1" customWidth="1"/>
    <col min="24" max="24" width="20.44140625" style="69" bestFit="1" customWidth="1"/>
    <col min="25" max="25" width="6.21875" style="69" bestFit="1" customWidth="1"/>
    <col min="26" max="26" width="20.21875" style="69" bestFit="1" customWidth="1"/>
    <col min="27" max="27" width="6.21875" style="69" bestFit="1" customWidth="1"/>
    <col min="28" max="28" width="20.21875" style="68" customWidth="1"/>
    <col min="29" max="29" width="28" style="69" customWidth="1"/>
    <col min="30" max="30" width="20.5546875" style="69" bestFit="1" customWidth="1"/>
    <col min="31" max="31" width="6.21875" style="69" bestFit="1" customWidth="1"/>
    <col min="32" max="32" width="15.77734375" style="69" bestFit="1" customWidth="1"/>
    <col min="33" max="33" width="6.21875" style="69" bestFit="1" customWidth="1"/>
    <col min="34" max="34" width="29.77734375" style="69" bestFit="1" customWidth="1"/>
    <col min="35" max="35" width="12.5546875" style="69"/>
    <col min="36" max="36" width="21.77734375" style="69" customWidth="1"/>
    <col min="37" max="37" width="12.5546875" style="69"/>
    <col min="38" max="38" width="27.5546875" style="69" bestFit="1" customWidth="1"/>
    <col min="39" max="39" width="12.5546875" style="69"/>
    <col min="40" max="40" width="20.5546875" style="69" bestFit="1" customWidth="1"/>
    <col min="41" max="41" width="18.21875" style="69" customWidth="1"/>
    <col min="42" max="16384" width="12.5546875" style="69"/>
  </cols>
  <sheetData>
    <row r="1" spans="1:41" s="67" customFormat="1" ht="28.05" customHeight="1">
      <c r="A1" s="67" t="s">
        <v>1674</v>
      </c>
      <c r="B1" s="216" t="s">
        <v>457</v>
      </c>
      <c r="C1" s="216"/>
      <c r="D1" s="216" t="s">
        <v>1675</v>
      </c>
      <c r="E1" s="216"/>
      <c r="F1" s="216" t="s">
        <v>469</v>
      </c>
      <c r="G1" s="216"/>
      <c r="H1" s="216" t="s">
        <v>1676</v>
      </c>
      <c r="I1" s="216"/>
      <c r="J1" s="216" t="s">
        <v>1677</v>
      </c>
      <c r="K1" s="216"/>
      <c r="L1" s="216" t="s">
        <v>207</v>
      </c>
      <c r="M1" s="216"/>
      <c r="N1" s="216" t="s">
        <v>1678</v>
      </c>
      <c r="O1" s="216"/>
      <c r="P1" s="216" t="s">
        <v>1679</v>
      </c>
      <c r="Q1" s="216"/>
      <c r="R1" s="216" t="s">
        <v>187</v>
      </c>
      <c r="S1" s="216"/>
      <c r="T1" s="216" t="s">
        <v>578</v>
      </c>
      <c r="U1" s="216"/>
      <c r="V1" s="216" t="s">
        <v>1680</v>
      </c>
      <c r="W1" s="216"/>
      <c r="X1" s="216" t="s">
        <v>1681</v>
      </c>
      <c r="Y1" s="216"/>
      <c r="Z1" s="216" t="s">
        <v>1682</v>
      </c>
      <c r="AA1" s="216"/>
      <c r="AB1" s="216" t="s">
        <v>623</v>
      </c>
      <c r="AC1" s="216"/>
      <c r="AD1" s="216" t="s">
        <v>12</v>
      </c>
      <c r="AE1" s="216"/>
      <c r="AF1" s="216" t="s">
        <v>1683</v>
      </c>
      <c r="AG1" s="216"/>
      <c r="AH1" s="216" t="s">
        <v>1684</v>
      </c>
      <c r="AI1" s="216"/>
      <c r="AJ1" s="216" t="s">
        <v>1685</v>
      </c>
      <c r="AK1" s="216"/>
      <c r="AL1" s="216" t="s">
        <v>1686</v>
      </c>
      <c r="AM1" s="216"/>
      <c r="AN1" s="216" t="s">
        <v>1687</v>
      </c>
      <c r="AO1" s="216"/>
    </row>
    <row r="2" spans="1:41" s="67" customFormat="1" ht="28.05" customHeight="1">
      <c r="A2" s="67" t="s">
        <v>1688</v>
      </c>
      <c r="B2" s="67" t="s">
        <v>1689</v>
      </c>
      <c r="C2" s="67" t="s">
        <v>1690</v>
      </c>
      <c r="D2" s="67" t="s">
        <v>1689</v>
      </c>
      <c r="E2" s="67" t="s">
        <v>1690</v>
      </c>
      <c r="F2" s="67" t="s">
        <v>1689</v>
      </c>
      <c r="G2" s="67" t="s">
        <v>1690</v>
      </c>
      <c r="H2" s="67" t="s">
        <v>1689</v>
      </c>
      <c r="I2" s="67" t="s">
        <v>1690</v>
      </c>
      <c r="J2" s="67" t="s">
        <v>1689</v>
      </c>
      <c r="K2" s="67" t="s">
        <v>1690</v>
      </c>
      <c r="L2" s="67" t="s">
        <v>1689</v>
      </c>
      <c r="M2" s="67" t="s">
        <v>1690</v>
      </c>
      <c r="N2" s="67" t="s">
        <v>1689</v>
      </c>
      <c r="O2" s="67" t="s">
        <v>1690</v>
      </c>
      <c r="P2" s="67" t="s">
        <v>1689</v>
      </c>
      <c r="Q2" s="67" t="s">
        <v>1690</v>
      </c>
      <c r="R2" s="67" t="s">
        <v>1689</v>
      </c>
      <c r="S2" s="67" t="s">
        <v>1690</v>
      </c>
      <c r="T2" s="67" t="s">
        <v>1689</v>
      </c>
      <c r="U2" s="67" t="s">
        <v>1690</v>
      </c>
      <c r="V2" s="67" t="s">
        <v>1689</v>
      </c>
      <c r="W2" s="67" t="s">
        <v>1690</v>
      </c>
      <c r="X2" s="67" t="s">
        <v>1689</v>
      </c>
      <c r="Y2" s="67" t="s">
        <v>1690</v>
      </c>
      <c r="Z2" s="67" t="s">
        <v>1689</v>
      </c>
      <c r="AA2" s="67" t="s">
        <v>1690</v>
      </c>
      <c r="AB2" s="67" t="s">
        <v>1690</v>
      </c>
      <c r="AC2" s="67" t="s">
        <v>1691</v>
      </c>
      <c r="AD2" s="67" t="s">
        <v>1689</v>
      </c>
      <c r="AE2" s="67" t="s">
        <v>1690</v>
      </c>
      <c r="AF2" s="67" t="s">
        <v>1689</v>
      </c>
      <c r="AG2" s="67" t="s">
        <v>1690</v>
      </c>
      <c r="AH2" s="67" t="s">
        <v>1689</v>
      </c>
      <c r="AI2" s="67" t="s">
        <v>1690</v>
      </c>
      <c r="AJ2" s="67" t="s">
        <v>1689</v>
      </c>
      <c r="AK2" s="67" t="s">
        <v>1690</v>
      </c>
      <c r="AL2" s="67" t="s">
        <v>1689</v>
      </c>
      <c r="AM2" s="67" t="s">
        <v>1690</v>
      </c>
      <c r="AN2" s="67" t="s">
        <v>1689</v>
      </c>
      <c r="AO2" s="67" t="s">
        <v>2</v>
      </c>
    </row>
    <row r="3" spans="1:41" ht="17.399999999999999">
      <c r="A3" s="68">
        <v>1</v>
      </c>
      <c r="B3" s="69" t="s">
        <v>1692</v>
      </c>
      <c r="C3" s="69" t="s">
        <v>1693</v>
      </c>
      <c r="D3" s="70"/>
      <c r="E3" s="70"/>
      <c r="F3" s="69" t="s">
        <v>1694</v>
      </c>
      <c r="G3" s="69" t="s">
        <v>1695</v>
      </c>
      <c r="H3" s="69" t="s">
        <v>178</v>
      </c>
      <c r="I3" s="69" t="s">
        <v>1696</v>
      </c>
      <c r="J3" s="69" t="s">
        <v>1697</v>
      </c>
      <c r="K3" s="69" t="s">
        <v>1698</v>
      </c>
      <c r="L3" s="69" t="s">
        <v>208</v>
      </c>
      <c r="M3" s="69" t="s">
        <v>1699</v>
      </c>
      <c r="N3" s="69" t="s">
        <v>299</v>
      </c>
      <c r="O3" s="68" t="s">
        <v>1700</v>
      </c>
      <c r="P3" s="69" t="s">
        <v>1701</v>
      </c>
      <c r="Q3" s="69" t="s">
        <v>451</v>
      </c>
      <c r="R3" s="69" t="s">
        <v>188</v>
      </c>
      <c r="S3" s="69" t="s">
        <v>451</v>
      </c>
      <c r="T3" s="69" t="s">
        <v>1702</v>
      </c>
      <c r="U3" s="71" t="s">
        <v>1695</v>
      </c>
      <c r="V3" s="69" t="s">
        <v>1703</v>
      </c>
      <c r="W3" s="69" t="s">
        <v>1704</v>
      </c>
      <c r="X3" s="69" t="s">
        <v>1705</v>
      </c>
      <c r="Y3" s="72" t="s">
        <v>1706</v>
      </c>
      <c r="Z3" s="69" t="s">
        <v>1707</v>
      </c>
      <c r="AA3" s="69" t="s">
        <v>1708</v>
      </c>
      <c r="AB3" s="68" t="s">
        <v>108</v>
      </c>
      <c r="AC3" s="69" t="s">
        <v>109</v>
      </c>
      <c r="AD3" s="69" t="s">
        <v>1709</v>
      </c>
      <c r="AE3" s="72" t="s">
        <v>1695</v>
      </c>
      <c r="AF3" s="69" t="s">
        <v>1710</v>
      </c>
      <c r="AG3" s="69">
        <v>1</v>
      </c>
      <c r="AH3" s="69" t="s">
        <v>1711</v>
      </c>
      <c r="AI3" s="69" t="s">
        <v>1699</v>
      </c>
      <c r="AJ3" s="69" t="s">
        <v>1712</v>
      </c>
      <c r="AK3" s="69">
        <v>1</v>
      </c>
      <c r="AL3" s="69" t="s">
        <v>1713</v>
      </c>
      <c r="AM3" s="69">
        <v>1</v>
      </c>
      <c r="AN3" s="69">
        <v>0</v>
      </c>
      <c r="AO3" s="69" t="s">
        <v>1714</v>
      </c>
    </row>
    <row r="4" spans="1:41" ht="17.399999999999999">
      <c r="A4" s="68">
        <v>2</v>
      </c>
      <c r="B4" s="69" t="s">
        <v>1715</v>
      </c>
      <c r="C4" s="69" t="s">
        <v>1716</v>
      </c>
      <c r="D4" s="70"/>
      <c r="E4" s="70"/>
      <c r="F4" s="69" t="s">
        <v>1717</v>
      </c>
      <c r="G4" s="69" t="s">
        <v>1718</v>
      </c>
      <c r="H4" s="69" t="s">
        <v>1719</v>
      </c>
      <c r="I4" s="69" t="s">
        <v>1706</v>
      </c>
      <c r="J4" s="69" t="s">
        <v>1720</v>
      </c>
      <c r="K4" s="69" t="s">
        <v>1721</v>
      </c>
      <c r="L4" s="69" t="s">
        <v>1722</v>
      </c>
      <c r="M4" s="69" t="s">
        <v>1723</v>
      </c>
      <c r="N4" s="69" t="s">
        <v>205</v>
      </c>
      <c r="O4" s="68" t="s">
        <v>1696</v>
      </c>
      <c r="P4" s="69" t="s">
        <v>1724</v>
      </c>
      <c r="Q4" s="69" t="s">
        <v>1704</v>
      </c>
      <c r="R4" s="69" t="s">
        <v>193</v>
      </c>
      <c r="S4" s="69" t="s">
        <v>1725</v>
      </c>
      <c r="T4" s="69" t="s">
        <v>1726</v>
      </c>
      <c r="U4" s="71" t="s">
        <v>1718</v>
      </c>
      <c r="V4" s="69" t="s">
        <v>1727</v>
      </c>
      <c r="W4" s="69" t="s">
        <v>1725</v>
      </c>
      <c r="X4" s="69" t="s">
        <v>1728</v>
      </c>
      <c r="Y4" s="72" t="s">
        <v>1725</v>
      </c>
      <c r="Z4" s="69" t="s">
        <v>1729</v>
      </c>
      <c r="AA4" s="69" t="s">
        <v>1730</v>
      </c>
      <c r="AB4" s="68" t="s">
        <v>110</v>
      </c>
      <c r="AC4" s="69" t="s">
        <v>1731</v>
      </c>
      <c r="AD4" s="69" t="s">
        <v>13</v>
      </c>
      <c r="AE4" s="72" t="s">
        <v>1718</v>
      </c>
      <c r="AF4" s="69" t="s">
        <v>1732</v>
      </c>
      <c r="AG4" s="69">
        <v>2</v>
      </c>
      <c r="AH4" s="69" t="s">
        <v>1733</v>
      </c>
      <c r="AI4" s="69" t="s">
        <v>1706</v>
      </c>
      <c r="AJ4" s="69" t="s">
        <v>1734</v>
      </c>
      <c r="AK4" s="69">
        <v>2</v>
      </c>
      <c r="AL4" s="69" t="s">
        <v>1735</v>
      </c>
      <c r="AM4" s="69">
        <v>2</v>
      </c>
      <c r="AN4" s="73" t="s">
        <v>463</v>
      </c>
      <c r="AO4" s="69" t="s">
        <v>1736</v>
      </c>
    </row>
    <row r="5" spans="1:41" ht="17.399999999999999">
      <c r="A5" s="68">
        <v>3</v>
      </c>
      <c r="B5" s="69" t="s">
        <v>1737</v>
      </c>
      <c r="C5" s="69" t="s">
        <v>1738</v>
      </c>
      <c r="D5" s="70"/>
      <c r="E5" s="70"/>
      <c r="H5" s="69" t="s">
        <v>1739</v>
      </c>
      <c r="I5" s="69" t="s">
        <v>1740</v>
      </c>
      <c r="J5" s="69" t="s">
        <v>1741</v>
      </c>
      <c r="K5" s="69" t="s">
        <v>1742</v>
      </c>
      <c r="L5" s="69" t="s">
        <v>210</v>
      </c>
      <c r="M5" s="69" t="s">
        <v>1740</v>
      </c>
      <c r="N5" s="69" t="s">
        <v>195</v>
      </c>
      <c r="O5" s="68" t="s">
        <v>1699</v>
      </c>
      <c r="R5" s="69" t="s">
        <v>192</v>
      </c>
      <c r="S5" s="69" t="s">
        <v>1723</v>
      </c>
      <c r="T5" s="69" t="s">
        <v>1743</v>
      </c>
      <c r="U5" s="71" t="s">
        <v>1744</v>
      </c>
      <c r="V5" s="69" t="s">
        <v>1745</v>
      </c>
      <c r="W5" s="69" t="s">
        <v>579</v>
      </c>
      <c r="X5" s="69" t="s">
        <v>1746</v>
      </c>
      <c r="Y5" s="72" t="s">
        <v>453</v>
      </c>
      <c r="Z5" s="69" t="s">
        <v>1713</v>
      </c>
      <c r="AA5" s="69" t="s">
        <v>1747</v>
      </c>
      <c r="AB5" s="68" t="s">
        <v>112</v>
      </c>
      <c r="AC5" s="69" t="s">
        <v>1748</v>
      </c>
      <c r="AD5" s="69" t="s">
        <v>1749</v>
      </c>
      <c r="AE5" s="72" t="s">
        <v>1750</v>
      </c>
      <c r="AF5" s="69" t="s">
        <v>1751</v>
      </c>
      <c r="AG5" s="69">
        <v>3</v>
      </c>
      <c r="AH5" s="69" t="s">
        <v>1752</v>
      </c>
      <c r="AI5" s="69" t="s">
        <v>1725</v>
      </c>
      <c r="AJ5" s="69" t="s">
        <v>1753</v>
      </c>
      <c r="AK5" s="69">
        <v>3</v>
      </c>
      <c r="AL5" s="69" t="s">
        <v>1754</v>
      </c>
      <c r="AM5" s="69">
        <v>3</v>
      </c>
      <c r="AN5" s="69">
        <v>4</v>
      </c>
      <c r="AO5" s="69" t="s">
        <v>1755</v>
      </c>
    </row>
    <row r="6" spans="1:41" ht="17.399999999999999">
      <c r="A6" s="68">
        <v>4</v>
      </c>
      <c r="B6" s="69" t="s">
        <v>1756</v>
      </c>
      <c r="C6" s="72" t="s">
        <v>1757</v>
      </c>
      <c r="D6" s="70"/>
      <c r="E6" s="70"/>
      <c r="H6" s="69" t="s">
        <v>1758</v>
      </c>
      <c r="I6" s="69" t="s">
        <v>1704</v>
      </c>
      <c r="J6" s="69" t="s">
        <v>1759</v>
      </c>
      <c r="K6" s="69" t="s">
        <v>1760</v>
      </c>
      <c r="L6" s="69" t="s">
        <v>1761</v>
      </c>
      <c r="M6" s="69" t="s">
        <v>451</v>
      </c>
      <c r="N6" s="69" t="s">
        <v>197</v>
      </c>
      <c r="O6" s="68" t="s">
        <v>1725</v>
      </c>
      <c r="R6" s="69" t="s">
        <v>190</v>
      </c>
      <c r="S6" s="69" t="s">
        <v>1762</v>
      </c>
      <c r="T6" s="69" t="s">
        <v>1763</v>
      </c>
      <c r="U6" s="71" t="s">
        <v>1764</v>
      </c>
      <c r="V6" s="69" t="s">
        <v>178</v>
      </c>
      <c r="W6" s="69" t="s">
        <v>1696</v>
      </c>
      <c r="X6" s="69" t="s">
        <v>1765</v>
      </c>
      <c r="Y6" s="72" t="s">
        <v>1699</v>
      </c>
      <c r="Z6" s="69" t="s">
        <v>1735</v>
      </c>
      <c r="AA6" s="69" t="s">
        <v>1766</v>
      </c>
      <c r="AB6" s="68" t="s">
        <v>114</v>
      </c>
      <c r="AC6" s="69" t="s">
        <v>1767</v>
      </c>
      <c r="AD6" s="69" t="s">
        <v>1768</v>
      </c>
      <c r="AE6" s="72" t="s">
        <v>1769</v>
      </c>
      <c r="AH6" s="69" t="s">
        <v>1770</v>
      </c>
      <c r="AI6" s="69" t="s">
        <v>451</v>
      </c>
      <c r="AJ6" s="69" t="s">
        <v>1771</v>
      </c>
      <c r="AK6" s="69">
        <v>4</v>
      </c>
      <c r="AL6" s="69" t="s">
        <v>1772</v>
      </c>
      <c r="AM6" s="69">
        <v>4</v>
      </c>
      <c r="AN6" s="69">
        <v>5</v>
      </c>
      <c r="AO6" s="69" t="s">
        <v>1773</v>
      </c>
    </row>
    <row r="7" spans="1:41" ht="17.399999999999999">
      <c r="A7" s="68">
        <v>5</v>
      </c>
      <c r="B7" s="69" t="s">
        <v>1774</v>
      </c>
      <c r="C7" s="69" t="s">
        <v>1775</v>
      </c>
      <c r="D7" s="70"/>
      <c r="E7" s="70"/>
      <c r="H7" s="69" t="s">
        <v>1776</v>
      </c>
      <c r="I7" s="69" t="s">
        <v>1725</v>
      </c>
      <c r="J7" s="69" t="s">
        <v>1777</v>
      </c>
      <c r="K7" s="69" t="s">
        <v>1778</v>
      </c>
      <c r="L7" s="69" t="s">
        <v>1779</v>
      </c>
      <c r="M7" s="69" t="s">
        <v>1700</v>
      </c>
      <c r="N7" s="69" t="s">
        <v>1780</v>
      </c>
      <c r="O7" s="68" t="s">
        <v>1706</v>
      </c>
      <c r="R7" s="69" t="s">
        <v>1781</v>
      </c>
      <c r="S7" s="69" t="s">
        <v>1706</v>
      </c>
      <c r="T7" s="69" t="s">
        <v>1782</v>
      </c>
      <c r="U7" s="71" t="s">
        <v>1783</v>
      </c>
      <c r="V7" s="69" t="s">
        <v>175</v>
      </c>
      <c r="W7" s="69" t="s">
        <v>118</v>
      </c>
      <c r="X7" s="69" t="s">
        <v>1784</v>
      </c>
      <c r="Y7" s="72" t="s">
        <v>977</v>
      </c>
      <c r="Z7" s="69" t="s">
        <v>1754</v>
      </c>
      <c r="AA7" s="69" t="s">
        <v>1785</v>
      </c>
      <c r="AB7" s="68" t="s">
        <v>116</v>
      </c>
      <c r="AC7" s="69" t="s">
        <v>1786</v>
      </c>
      <c r="AD7" s="69" t="s">
        <v>1787</v>
      </c>
      <c r="AE7" s="72" t="s">
        <v>1788</v>
      </c>
      <c r="AH7" s="69" t="s">
        <v>1789</v>
      </c>
      <c r="AI7" s="69" t="s">
        <v>1704</v>
      </c>
      <c r="AL7" s="69" t="s">
        <v>1790</v>
      </c>
      <c r="AM7" s="69">
        <v>5</v>
      </c>
      <c r="AN7" s="69">
        <v>6</v>
      </c>
      <c r="AO7" s="69" t="s">
        <v>1791</v>
      </c>
    </row>
    <row r="8" spans="1:41" ht="17.399999999999999">
      <c r="A8" s="68">
        <v>6</v>
      </c>
      <c r="B8" s="69" t="s">
        <v>1792</v>
      </c>
      <c r="C8" s="69" t="s">
        <v>1793</v>
      </c>
      <c r="D8" s="70"/>
      <c r="E8" s="70"/>
      <c r="H8" s="69" t="s">
        <v>1794</v>
      </c>
      <c r="I8" s="69" t="s">
        <v>1795</v>
      </c>
      <c r="J8" s="69" t="s">
        <v>1796</v>
      </c>
      <c r="K8" s="69" t="s">
        <v>1797</v>
      </c>
      <c r="L8" s="74"/>
      <c r="N8" s="69" t="s">
        <v>203</v>
      </c>
      <c r="O8" s="68" t="s">
        <v>1740</v>
      </c>
      <c r="T8" s="69" t="s">
        <v>1798</v>
      </c>
      <c r="U8" s="71" t="s">
        <v>1799</v>
      </c>
      <c r="V8" s="69" t="s">
        <v>174</v>
      </c>
      <c r="W8" s="69" t="s">
        <v>451</v>
      </c>
      <c r="X8" s="69" t="s">
        <v>1800</v>
      </c>
      <c r="Y8" s="72" t="s">
        <v>1801</v>
      </c>
      <c r="Z8" s="69" t="s">
        <v>1772</v>
      </c>
      <c r="AA8" s="69" t="s">
        <v>114</v>
      </c>
      <c r="AD8" s="69" t="s">
        <v>1802</v>
      </c>
      <c r="AE8" s="72">
        <v>10</v>
      </c>
      <c r="AH8" s="69" t="s">
        <v>1803</v>
      </c>
      <c r="AI8" s="69" t="s">
        <v>1804</v>
      </c>
      <c r="AL8" s="69" t="s">
        <v>207</v>
      </c>
      <c r="AM8" s="69">
        <v>6</v>
      </c>
      <c r="AN8" s="69">
        <v>7</v>
      </c>
      <c r="AO8" s="69" t="s">
        <v>1805</v>
      </c>
    </row>
    <row r="9" spans="1:41" ht="17.399999999999999">
      <c r="A9" s="68">
        <v>7</v>
      </c>
      <c r="B9" s="69" t="s">
        <v>1806</v>
      </c>
      <c r="C9" s="69" t="s">
        <v>1807</v>
      </c>
      <c r="D9" s="70"/>
      <c r="E9" s="70"/>
      <c r="H9" s="69" t="s">
        <v>1808</v>
      </c>
      <c r="I9" s="69" t="s">
        <v>451</v>
      </c>
      <c r="J9" s="69" t="s">
        <v>1809</v>
      </c>
      <c r="K9" s="69" t="s">
        <v>1810</v>
      </c>
      <c r="N9" s="69" t="s">
        <v>204</v>
      </c>
      <c r="O9" s="68" t="s">
        <v>1811</v>
      </c>
      <c r="T9" s="69" t="s">
        <v>1812</v>
      </c>
      <c r="U9" s="71" t="s">
        <v>1750</v>
      </c>
      <c r="V9" s="69" t="s">
        <v>179</v>
      </c>
      <c r="W9" s="69" t="s">
        <v>452</v>
      </c>
      <c r="X9" s="69" t="s">
        <v>1813</v>
      </c>
      <c r="Y9" s="72" t="s">
        <v>1704</v>
      </c>
      <c r="Z9" s="69" t="s">
        <v>1790</v>
      </c>
      <c r="AA9" s="69" t="s">
        <v>1814</v>
      </c>
      <c r="AD9" s="69" t="s">
        <v>1815</v>
      </c>
      <c r="AE9" s="72" t="s">
        <v>1783</v>
      </c>
      <c r="AH9" s="69" t="s">
        <v>179</v>
      </c>
      <c r="AI9" s="69" t="s">
        <v>452</v>
      </c>
      <c r="AL9" s="69" t="s">
        <v>1816</v>
      </c>
      <c r="AM9" s="69">
        <v>7</v>
      </c>
    </row>
    <row r="10" spans="1:41" ht="17.399999999999999">
      <c r="A10" s="68">
        <v>8</v>
      </c>
      <c r="B10" s="69" t="s">
        <v>1817</v>
      </c>
      <c r="C10" s="69" t="s">
        <v>1818</v>
      </c>
      <c r="D10" s="70"/>
      <c r="E10" s="70"/>
      <c r="H10" s="69" t="s">
        <v>1819</v>
      </c>
      <c r="I10" s="69" t="s">
        <v>1699</v>
      </c>
      <c r="J10" s="69" t="s">
        <v>1820</v>
      </c>
      <c r="K10" s="69" t="s">
        <v>1821</v>
      </c>
      <c r="N10" s="69" t="s">
        <v>200</v>
      </c>
      <c r="O10" s="68" t="s">
        <v>1804</v>
      </c>
      <c r="T10" s="69" t="s">
        <v>1822</v>
      </c>
      <c r="U10" s="71" t="s">
        <v>1769</v>
      </c>
      <c r="X10" s="69" t="s">
        <v>1823</v>
      </c>
      <c r="Y10" s="72">
        <v>3</v>
      </c>
      <c r="Z10" s="69" t="s">
        <v>207</v>
      </c>
      <c r="AA10" s="69" t="s">
        <v>1824</v>
      </c>
      <c r="AD10" s="69" t="s">
        <v>1825</v>
      </c>
      <c r="AE10" s="72" t="s">
        <v>1799</v>
      </c>
      <c r="AL10" s="69" t="s">
        <v>1826</v>
      </c>
      <c r="AM10" s="69">
        <v>8</v>
      </c>
    </row>
    <row r="11" spans="1:41" ht="17.399999999999999">
      <c r="A11" s="68">
        <v>9</v>
      </c>
      <c r="B11" s="69" t="s">
        <v>1827</v>
      </c>
      <c r="C11" s="69" t="s">
        <v>112</v>
      </c>
      <c r="D11" s="70"/>
      <c r="E11" s="70"/>
      <c r="H11" s="69" t="s">
        <v>1828</v>
      </c>
      <c r="I11" s="69" t="s">
        <v>1723</v>
      </c>
      <c r="J11" s="69" t="s">
        <v>1829</v>
      </c>
      <c r="K11" s="69" t="s">
        <v>1830</v>
      </c>
      <c r="N11" s="69" t="s">
        <v>201</v>
      </c>
      <c r="O11" s="68" t="s">
        <v>452</v>
      </c>
      <c r="T11" s="69" t="s">
        <v>1831</v>
      </c>
      <c r="U11" s="71" t="s">
        <v>1788</v>
      </c>
      <c r="X11" s="69" t="s">
        <v>1832</v>
      </c>
      <c r="Y11" s="72">
        <v>6</v>
      </c>
      <c r="Z11" s="69" t="s">
        <v>1833</v>
      </c>
      <c r="AA11" s="69" t="s">
        <v>1834</v>
      </c>
      <c r="AD11" s="69" t="s">
        <v>1835</v>
      </c>
      <c r="AE11" s="72" t="s">
        <v>1744</v>
      </c>
      <c r="AL11" s="69" t="s">
        <v>1836</v>
      </c>
      <c r="AM11" s="69">
        <v>9</v>
      </c>
    </row>
    <row r="12" spans="1:41" ht="17.399999999999999">
      <c r="A12" s="68">
        <v>10</v>
      </c>
      <c r="B12" s="69" t="s">
        <v>1837</v>
      </c>
      <c r="C12" s="69" t="s">
        <v>1838</v>
      </c>
      <c r="D12" s="70"/>
      <c r="E12" s="70"/>
      <c r="H12" s="69" t="s">
        <v>1839</v>
      </c>
      <c r="I12" s="69" t="s">
        <v>1804</v>
      </c>
      <c r="J12" s="69" t="s">
        <v>1840</v>
      </c>
      <c r="K12" s="69" t="s">
        <v>1838</v>
      </c>
      <c r="N12" s="69" t="s">
        <v>202</v>
      </c>
      <c r="O12" s="68" t="s">
        <v>1704</v>
      </c>
      <c r="T12" s="69" t="s">
        <v>1841</v>
      </c>
      <c r="U12" s="71" t="s">
        <v>127</v>
      </c>
      <c r="X12" s="69" t="s">
        <v>1842</v>
      </c>
      <c r="Y12" s="72" t="s">
        <v>1700</v>
      </c>
      <c r="Z12" s="69" t="s">
        <v>1843</v>
      </c>
      <c r="AA12" s="69" t="s">
        <v>1844</v>
      </c>
      <c r="AD12" s="69" t="s">
        <v>1845</v>
      </c>
      <c r="AE12" s="72">
        <v>11</v>
      </c>
      <c r="AL12" s="69" t="s">
        <v>1846</v>
      </c>
      <c r="AM12" s="69">
        <v>10</v>
      </c>
    </row>
    <row r="13" spans="1:41" ht="17.399999999999999">
      <c r="A13" s="68">
        <v>11</v>
      </c>
      <c r="D13" s="70"/>
      <c r="E13" s="70"/>
      <c r="H13" s="69" t="s">
        <v>1847</v>
      </c>
      <c r="I13" s="69" t="s">
        <v>977</v>
      </c>
      <c r="J13" s="69" t="s">
        <v>1848</v>
      </c>
      <c r="K13" s="69" t="s">
        <v>1849</v>
      </c>
      <c r="N13" s="69" t="s">
        <v>1850</v>
      </c>
      <c r="O13" s="68" t="s">
        <v>118</v>
      </c>
      <c r="T13" s="69" t="s">
        <v>1851</v>
      </c>
      <c r="U13" s="71" t="s">
        <v>1852</v>
      </c>
      <c r="Z13" s="69" t="s">
        <v>1853</v>
      </c>
      <c r="AA13" s="69" t="s">
        <v>1854</v>
      </c>
      <c r="AD13" s="69" t="s">
        <v>1855</v>
      </c>
      <c r="AE13" s="72">
        <v>12</v>
      </c>
      <c r="AL13" s="69" t="s">
        <v>1856</v>
      </c>
      <c r="AM13" s="69">
        <v>11</v>
      </c>
    </row>
    <row r="14" spans="1:41" ht="17.399999999999999">
      <c r="A14" s="68">
        <v>12</v>
      </c>
      <c r="D14" s="70"/>
      <c r="E14" s="70"/>
      <c r="H14" s="69" t="s">
        <v>179</v>
      </c>
      <c r="I14" s="69" t="s">
        <v>452</v>
      </c>
      <c r="J14" s="69" t="s">
        <v>1857</v>
      </c>
      <c r="K14" s="69" t="s">
        <v>1858</v>
      </c>
      <c r="N14" s="69" t="s">
        <v>1753</v>
      </c>
      <c r="O14" s="68" t="s">
        <v>451</v>
      </c>
      <c r="T14" s="69" t="s">
        <v>1859</v>
      </c>
      <c r="U14" s="71" t="s">
        <v>129</v>
      </c>
      <c r="Z14" s="69" t="s">
        <v>1860</v>
      </c>
      <c r="AA14" s="69" t="s">
        <v>1861</v>
      </c>
      <c r="AD14" s="69" t="s">
        <v>1862</v>
      </c>
      <c r="AE14" s="72">
        <v>13</v>
      </c>
      <c r="AL14" s="69" t="s">
        <v>1863</v>
      </c>
      <c r="AM14" s="69">
        <v>12</v>
      </c>
    </row>
    <row r="15" spans="1:41" ht="17.399999999999999">
      <c r="A15" s="68">
        <v>13</v>
      </c>
      <c r="D15" s="70"/>
      <c r="E15" s="70"/>
      <c r="J15" s="69" t="s">
        <v>1864</v>
      </c>
      <c r="K15" s="69" t="s">
        <v>1865</v>
      </c>
      <c r="N15" s="69" t="s">
        <v>1866</v>
      </c>
      <c r="O15" s="68" t="s">
        <v>977</v>
      </c>
      <c r="T15" s="69" t="s">
        <v>1867</v>
      </c>
      <c r="U15" s="71" t="s">
        <v>1868</v>
      </c>
      <c r="Z15" s="69" t="s">
        <v>1869</v>
      </c>
      <c r="AA15" s="69" t="s">
        <v>1870</v>
      </c>
      <c r="AD15" s="69" t="s">
        <v>1871</v>
      </c>
      <c r="AE15" s="72">
        <v>14</v>
      </c>
      <c r="AL15" s="69" t="s">
        <v>1872</v>
      </c>
      <c r="AM15" s="69">
        <v>13</v>
      </c>
    </row>
    <row r="16" spans="1:41" ht="17.399999999999999">
      <c r="A16" s="68">
        <v>14</v>
      </c>
      <c r="D16" s="70"/>
      <c r="E16" s="70"/>
      <c r="J16" s="69" t="s">
        <v>1873</v>
      </c>
      <c r="K16" s="69" t="s">
        <v>1874</v>
      </c>
      <c r="T16" s="69" t="s">
        <v>1875</v>
      </c>
      <c r="U16" s="71" t="s">
        <v>1876</v>
      </c>
      <c r="Z16" s="69" t="s">
        <v>1877</v>
      </c>
      <c r="AA16" s="69" t="s">
        <v>1757</v>
      </c>
      <c r="AD16" s="69" t="s">
        <v>1878</v>
      </c>
      <c r="AE16" s="72" t="s">
        <v>1764</v>
      </c>
      <c r="AL16" s="69" t="s">
        <v>1879</v>
      </c>
      <c r="AM16" s="69">
        <v>14</v>
      </c>
    </row>
    <row r="17" spans="1:39" ht="17.399999999999999">
      <c r="A17" s="68">
        <v>15</v>
      </c>
      <c r="D17" s="70"/>
      <c r="E17" s="70"/>
      <c r="J17" s="69" t="s">
        <v>1880</v>
      </c>
      <c r="K17" s="69" t="s">
        <v>1881</v>
      </c>
      <c r="T17" s="69" t="s">
        <v>1882</v>
      </c>
      <c r="U17" s="71" t="s">
        <v>1883</v>
      </c>
      <c r="Z17" s="69" t="s">
        <v>1884</v>
      </c>
      <c r="AA17" s="69" t="s">
        <v>1885</v>
      </c>
      <c r="AD17" s="69" t="s">
        <v>1886</v>
      </c>
      <c r="AE17" s="72">
        <v>15</v>
      </c>
      <c r="AL17" s="69" t="s">
        <v>1843</v>
      </c>
      <c r="AM17" s="69">
        <v>15</v>
      </c>
    </row>
    <row r="18" spans="1:39" ht="17.399999999999999">
      <c r="A18" s="68">
        <v>16</v>
      </c>
      <c r="D18" s="70"/>
      <c r="E18" s="70"/>
      <c r="J18" s="69" t="s">
        <v>1887</v>
      </c>
      <c r="K18" s="69" t="s">
        <v>1818</v>
      </c>
      <c r="T18" s="69" t="s">
        <v>1888</v>
      </c>
      <c r="U18" s="71" t="s">
        <v>1889</v>
      </c>
      <c r="Z18" s="69" t="s">
        <v>1890</v>
      </c>
      <c r="AA18" s="69" t="s">
        <v>1891</v>
      </c>
      <c r="AL18" s="69" t="s">
        <v>1853</v>
      </c>
      <c r="AM18" s="69">
        <v>16</v>
      </c>
    </row>
    <row r="19" spans="1:39" ht="17.399999999999999">
      <c r="A19" s="68">
        <v>17</v>
      </c>
      <c r="D19" s="70"/>
      <c r="E19" s="70"/>
      <c r="J19" s="69" t="s">
        <v>1892</v>
      </c>
      <c r="K19" s="69" t="s">
        <v>1893</v>
      </c>
      <c r="T19" s="69" t="s">
        <v>1894</v>
      </c>
      <c r="U19" s="71" t="s">
        <v>1895</v>
      </c>
      <c r="Z19" s="69" t="s">
        <v>1896</v>
      </c>
      <c r="AA19" s="69" t="s">
        <v>1897</v>
      </c>
      <c r="AL19" s="69" t="s">
        <v>1860</v>
      </c>
      <c r="AM19" s="69">
        <v>17</v>
      </c>
    </row>
    <row r="20" spans="1:39" ht="17.399999999999999">
      <c r="A20" s="68">
        <v>18</v>
      </c>
      <c r="D20" s="70"/>
      <c r="E20" s="70"/>
      <c r="J20" s="69" t="s">
        <v>1898</v>
      </c>
      <c r="K20" s="69" t="s">
        <v>1899</v>
      </c>
      <c r="T20" s="69" t="s">
        <v>1900</v>
      </c>
      <c r="U20" s="71" t="s">
        <v>1901</v>
      </c>
      <c r="Z20" s="69" t="s">
        <v>1902</v>
      </c>
      <c r="AA20" s="69" t="s">
        <v>1858</v>
      </c>
      <c r="AL20" s="69" t="s">
        <v>1896</v>
      </c>
      <c r="AM20" s="69">
        <v>18</v>
      </c>
    </row>
    <row r="21" spans="1:39" ht="17.399999999999999">
      <c r="A21" s="68">
        <v>19</v>
      </c>
      <c r="D21" s="70"/>
      <c r="E21" s="70"/>
      <c r="J21" s="69" t="s">
        <v>1903</v>
      </c>
      <c r="K21" s="69" t="s">
        <v>1904</v>
      </c>
      <c r="T21" s="69" t="s">
        <v>1905</v>
      </c>
      <c r="U21" s="71" t="s">
        <v>1906</v>
      </c>
      <c r="Z21" s="69" t="s">
        <v>1907</v>
      </c>
      <c r="AA21" s="69" t="s">
        <v>1908</v>
      </c>
      <c r="AL21" s="69" t="s">
        <v>1902</v>
      </c>
      <c r="AM21" s="69">
        <v>19</v>
      </c>
    </row>
    <row r="22" spans="1:39" ht="17.399999999999999">
      <c r="A22" s="68">
        <v>20</v>
      </c>
      <c r="D22" s="70"/>
      <c r="E22" s="70"/>
      <c r="J22" s="69" t="s">
        <v>1909</v>
      </c>
      <c r="K22" s="69" t="s">
        <v>1910</v>
      </c>
      <c r="T22" s="69" t="s">
        <v>1911</v>
      </c>
      <c r="U22" s="71" t="s">
        <v>1912</v>
      </c>
      <c r="Z22" s="69" t="s">
        <v>1913</v>
      </c>
      <c r="AA22" s="69" t="s">
        <v>1914</v>
      </c>
      <c r="AL22" s="69" t="s">
        <v>1907</v>
      </c>
      <c r="AM22" s="69">
        <v>20</v>
      </c>
    </row>
    <row r="23" spans="1:39" ht="17.399999999999999">
      <c r="A23" s="68">
        <v>21</v>
      </c>
      <c r="D23" s="70"/>
      <c r="E23" s="70"/>
      <c r="J23" s="69" t="s">
        <v>1915</v>
      </c>
      <c r="K23" s="69" t="s">
        <v>1916</v>
      </c>
      <c r="T23" s="69" t="s">
        <v>1917</v>
      </c>
      <c r="U23" s="71" t="s">
        <v>1918</v>
      </c>
      <c r="Z23" s="69" t="s">
        <v>1919</v>
      </c>
      <c r="AA23" s="69" t="s">
        <v>1920</v>
      </c>
      <c r="AL23" s="69" t="s">
        <v>1919</v>
      </c>
      <c r="AM23" s="69">
        <v>21</v>
      </c>
    </row>
    <row r="24" spans="1:39" ht="17.399999999999999">
      <c r="A24" s="68">
        <v>22</v>
      </c>
      <c r="D24" s="70"/>
      <c r="E24" s="70"/>
      <c r="J24" s="69" t="s">
        <v>1921</v>
      </c>
      <c r="K24" s="69" t="s">
        <v>1922</v>
      </c>
      <c r="T24" s="69" t="s">
        <v>1923</v>
      </c>
      <c r="U24" s="71" t="s">
        <v>1924</v>
      </c>
      <c r="Z24" s="69" t="s">
        <v>1925</v>
      </c>
      <c r="AA24" s="69" t="s">
        <v>1926</v>
      </c>
      <c r="AL24" s="69" t="s">
        <v>1927</v>
      </c>
      <c r="AM24" s="69">
        <v>22</v>
      </c>
    </row>
    <row r="25" spans="1:39" ht="17.399999999999999">
      <c r="A25" s="68">
        <v>23</v>
      </c>
      <c r="D25" s="70"/>
      <c r="E25" s="70"/>
      <c r="J25" s="69" t="s">
        <v>1928</v>
      </c>
      <c r="K25" s="69" t="s">
        <v>1929</v>
      </c>
      <c r="T25" s="69" t="s">
        <v>1798</v>
      </c>
      <c r="U25" s="71" t="s">
        <v>1930</v>
      </c>
      <c r="Z25" s="69" t="s">
        <v>1931</v>
      </c>
      <c r="AA25" s="69" t="s">
        <v>1932</v>
      </c>
    </row>
    <row r="26" spans="1:39" ht="17.399999999999999">
      <c r="A26" s="68">
        <v>24</v>
      </c>
      <c r="D26" s="70"/>
      <c r="E26" s="70"/>
      <c r="J26" s="69" t="s">
        <v>1933</v>
      </c>
      <c r="K26" s="69" t="s">
        <v>1934</v>
      </c>
      <c r="T26" s="69" t="s">
        <v>1935</v>
      </c>
      <c r="U26" s="71" t="s">
        <v>1936</v>
      </c>
      <c r="Z26" s="69" t="s">
        <v>1937</v>
      </c>
      <c r="AA26" s="69" t="s">
        <v>1938</v>
      </c>
    </row>
    <row r="27" spans="1:39" ht="17.399999999999999">
      <c r="A27" s="68">
        <v>25</v>
      </c>
      <c r="D27" s="70"/>
      <c r="E27" s="70"/>
      <c r="J27" s="69" t="s">
        <v>1939</v>
      </c>
      <c r="K27" s="69" t="s">
        <v>1940</v>
      </c>
      <c r="T27" s="69" t="s">
        <v>1941</v>
      </c>
      <c r="U27" s="71" t="s">
        <v>1942</v>
      </c>
      <c r="Z27" s="69" t="s">
        <v>1943</v>
      </c>
    </row>
    <row r="28" spans="1:39" ht="17.399999999999999">
      <c r="A28" s="68">
        <v>26</v>
      </c>
      <c r="D28" s="70"/>
      <c r="E28" s="70"/>
      <c r="J28" s="69" t="s">
        <v>1944</v>
      </c>
      <c r="K28" s="69" t="s">
        <v>1945</v>
      </c>
      <c r="T28" s="69" t="s">
        <v>1946</v>
      </c>
      <c r="U28" s="71" t="s">
        <v>1947</v>
      </c>
      <c r="Z28" s="69" t="s">
        <v>1948</v>
      </c>
      <c r="AA28" s="69" t="s">
        <v>1949</v>
      </c>
      <c r="AM28" s="75"/>
    </row>
    <row r="29" spans="1:39" ht="17.399999999999999">
      <c r="A29" s="68">
        <v>27</v>
      </c>
      <c r="D29" s="70"/>
      <c r="E29" s="70"/>
      <c r="J29" s="69" t="s">
        <v>1950</v>
      </c>
      <c r="K29" s="69" t="s">
        <v>1951</v>
      </c>
      <c r="T29" s="69" t="s">
        <v>1952</v>
      </c>
      <c r="U29" s="71" t="s">
        <v>1953</v>
      </c>
      <c r="Z29" s="69" t="s">
        <v>1954</v>
      </c>
      <c r="AA29" s="69" t="s">
        <v>1955</v>
      </c>
      <c r="AM29" s="75"/>
    </row>
    <row r="30" spans="1:39" ht="17.399999999999999">
      <c r="A30" s="68">
        <v>28</v>
      </c>
      <c r="D30" s="70"/>
      <c r="E30" s="70"/>
      <c r="J30" s="69" t="s">
        <v>1956</v>
      </c>
      <c r="K30" s="69" t="s">
        <v>1957</v>
      </c>
      <c r="T30" s="69" t="s">
        <v>1958</v>
      </c>
      <c r="U30" s="71" t="s">
        <v>1959</v>
      </c>
      <c r="Z30" s="69" t="s">
        <v>1960</v>
      </c>
      <c r="AA30" s="69" t="s">
        <v>1922</v>
      </c>
      <c r="AM30" s="75"/>
    </row>
    <row r="31" spans="1:39" ht="17.399999999999999">
      <c r="A31" s="68">
        <v>29</v>
      </c>
      <c r="D31" s="70"/>
      <c r="E31" s="70"/>
      <c r="J31" s="69" t="s">
        <v>1961</v>
      </c>
      <c r="K31" s="69" t="s">
        <v>1962</v>
      </c>
      <c r="T31" s="69" t="s">
        <v>1963</v>
      </c>
      <c r="U31" s="71" t="s">
        <v>1964</v>
      </c>
      <c r="Z31" s="69" t="s">
        <v>1965</v>
      </c>
      <c r="AA31" s="69" t="s">
        <v>1966</v>
      </c>
      <c r="AM31" s="75"/>
    </row>
    <row r="32" spans="1:39" ht="17.399999999999999">
      <c r="A32" s="68">
        <v>30</v>
      </c>
      <c r="D32" s="70"/>
      <c r="E32" s="70"/>
      <c r="J32" s="69" t="s">
        <v>1967</v>
      </c>
      <c r="K32" s="69" t="s">
        <v>1968</v>
      </c>
      <c r="T32" s="69" t="s">
        <v>1969</v>
      </c>
      <c r="U32" s="71" t="s">
        <v>1970</v>
      </c>
      <c r="Z32" s="69" t="s">
        <v>1927</v>
      </c>
      <c r="AA32" s="69" t="s">
        <v>1971</v>
      </c>
      <c r="AM32" s="75"/>
    </row>
    <row r="33" spans="1:21" ht="17.399999999999999">
      <c r="A33" s="68">
        <v>31</v>
      </c>
      <c r="D33" s="70"/>
      <c r="E33" s="70"/>
      <c r="J33" s="69" t="s">
        <v>1972</v>
      </c>
      <c r="K33" s="69" t="s">
        <v>1973</v>
      </c>
      <c r="T33" s="69" t="s">
        <v>1974</v>
      </c>
      <c r="U33" s="71" t="s">
        <v>1975</v>
      </c>
    </row>
    <row r="34" spans="1:21" ht="17.399999999999999">
      <c r="A34" s="68">
        <v>32</v>
      </c>
      <c r="D34" s="70"/>
      <c r="E34" s="70"/>
      <c r="J34" s="69" t="s">
        <v>1976</v>
      </c>
      <c r="K34" s="69" t="s">
        <v>1977</v>
      </c>
      <c r="T34" s="69" t="s">
        <v>1978</v>
      </c>
      <c r="U34" s="71" t="s">
        <v>1979</v>
      </c>
    </row>
    <row r="35" spans="1:21" ht="17.399999999999999">
      <c r="A35" s="68">
        <v>33</v>
      </c>
      <c r="D35" s="70"/>
      <c r="E35" s="70"/>
      <c r="J35" s="69" t="s">
        <v>1980</v>
      </c>
      <c r="K35" s="69" t="s">
        <v>1981</v>
      </c>
      <c r="T35" s="69" t="s">
        <v>1982</v>
      </c>
      <c r="U35" s="71" t="s">
        <v>1983</v>
      </c>
    </row>
    <row r="36" spans="1:21" ht="17.399999999999999">
      <c r="A36" s="68">
        <v>34</v>
      </c>
      <c r="D36" s="70"/>
      <c r="E36" s="70"/>
      <c r="J36" s="69" t="s">
        <v>1984</v>
      </c>
      <c r="K36" s="69" t="s">
        <v>1985</v>
      </c>
      <c r="T36" s="69" t="s">
        <v>1986</v>
      </c>
      <c r="U36" s="71" t="s">
        <v>1987</v>
      </c>
    </row>
    <row r="37" spans="1:21" ht="17.399999999999999">
      <c r="A37" s="68">
        <v>35</v>
      </c>
      <c r="D37" s="70"/>
      <c r="E37" s="70"/>
      <c r="J37" s="69" t="s">
        <v>1988</v>
      </c>
      <c r="K37" s="69" t="s">
        <v>1693</v>
      </c>
      <c r="T37" s="69" t="s">
        <v>1989</v>
      </c>
      <c r="U37" s="71" t="s">
        <v>1990</v>
      </c>
    </row>
    <row r="38" spans="1:21" ht="17.399999999999999">
      <c r="A38" s="68">
        <v>36</v>
      </c>
      <c r="D38" s="70"/>
      <c r="E38" s="70"/>
      <c r="J38" s="69" t="s">
        <v>1991</v>
      </c>
      <c r="K38" s="69" t="s">
        <v>1992</v>
      </c>
      <c r="T38" s="69" t="s">
        <v>1993</v>
      </c>
      <c r="U38" s="71" t="s">
        <v>1994</v>
      </c>
    </row>
    <row r="39" spans="1:21" ht="17.399999999999999">
      <c r="A39" s="68">
        <v>37</v>
      </c>
      <c r="D39" s="70"/>
      <c r="E39" s="70"/>
      <c r="J39" s="69" t="s">
        <v>1995</v>
      </c>
      <c r="K39" s="69" t="s">
        <v>1996</v>
      </c>
      <c r="T39" s="69" t="s">
        <v>1997</v>
      </c>
      <c r="U39" s="71" t="s">
        <v>1998</v>
      </c>
    </row>
    <row r="40" spans="1:21" ht="17.399999999999999">
      <c r="A40" s="68">
        <v>38</v>
      </c>
      <c r="D40" s="70"/>
      <c r="E40" s="70"/>
      <c r="J40" s="69" t="s">
        <v>1999</v>
      </c>
      <c r="K40" s="69" t="s">
        <v>2000</v>
      </c>
      <c r="T40" s="69" t="s">
        <v>2001</v>
      </c>
      <c r="U40" s="71" t="s">
        <v>2002</v>
      </c>
    </row>
    <row r="41" spans="1:21" ht="17.399999999999999">
      <c r="A41" s="68">
        <v>39</v>
      </c>
      <c r="D41" s="70"/>
      <c r="E41" s="70"/>
      <c r="J41" s="69" t="s">
        <v>2003</v>
      </c>
      <c r="K41" s="69" t="s">
        <v>2004</v>
      </c>
      <c r="T41" s="69" t="s">
        <v>2005</v>
      </c>
      <c r="U41" s="71" t="s">
        <v>2006</v>
      </c>
    </row>
    <row r="42" spans="1:21" ht="17.399999999999999">
      <c r="A42" s="68">
        <v>40</v>
      </c>
      <c r="D42" s="70"/>
      <c r="E42" s="70"/>
      <c r="J42" s="69" t="s">
        <v>2007</v>
      </c>
      <c r="K42" s="69" t="s">
        <v>2008</v>
      </c>
      <c r="T42" s="69" t="s">
        <v>2009</v>
      </c>
      <c r="U42" s="71" t="s">
        <v>2010</v>
      </c>
    </row>
    <row r="43" spans="1:21" ht="17.399999999999999">
      <c r="A43" s="68">
        <v>41</v>
      </c>
      <c r="D43" s="70"/>
      <c r="E43" s="70"/>
      <c r="J43" s="69" t="s">
        <v>2011</v>
      </c>
      <c r="K43" s="69" t="s">
        <v>2012</v>
      </c>
      <c r="T43" s="69" t="s">
        <v>2013</v>
      </c>
      <c r="U43" s="71" t="s">
        <v>2014</v>
      </c>
    </row>
    <row r="44" spans="1:21" ht="17.399999999999999">
      <c r="A44" s="68">
        <v>42</v>
      </c>
      <c r="D44" s="70"/>
      <c r="E44" s="70"/>
      <c r="J44" s="69" t="s">
        <v>2015</v>
      </c>
      <c r="K44" s="69" t="s">
        <v>2016</v>
      </c>
      <c r="T44" s="69" t="s">
        <v>2017</v>
      </c>
      <c r="U44" s="71" t="s">
        <v>2018</v>
      </c>
    </row>
    <row r="45" spans="1:21" ht="17.399999999999999">
      <c r="A45" s="68">
        <v>43</v>
      </c>
      <c r="D45" s="70"/>
      <c r="E45" s="70"/>
      <c r="J45" s="69" t="s">
        <v>2019</v>
      </c>
      <c r="K45" s="69" t="s">
        <v>2020</v>
      </c>
      <c r="T45" s="69" t="s">
        <v>2021</v>
      </c>
      <c r="U45" s="71" t="s">
        <v>2022</v>
      </c>
    </row>
    <row r="46" spans="1:21" ht="17.399999999999999">
      <c r="A46" s="68">
        <v>44</v>
      </c>
      <c r="D46" s="70"/>
      <c r="E46" s="70"/>
      <c r="J46" s="69" t="s">
        <v>2023</v>
      </c>
      <c r="K46" s="69" t="s">
        <v>2024</v>
      </c>
      <c r="T46" s="69" t="s">
        <v>2025</v>
      </c>
      <c r="U46" s="71" t="s">
        <v>2026</v>
      </c>
    </row>
    <row r="47" spans="1:21" ht="17.399999999999999">
      <c r="A47" s="68">
        <v>45</v>
      </c>
      <c r="D47" s="70"/>
      <c r="E47" s="70"/>
      <c r="J47" s="69" t="s">
        <v>2027</v>
      </c>
      <c r="K47" s="69" t="s">
        <v>2028</v>
      </c>
      <c r="T47" s="69" t="s">
        <v>2029</v>
      </c>
      <c r="U47" s="71" t="s">
        <v>2030</v>
      </c>
    </row>
    <row r="48" spans="1:21" ht="17.399999999999999">
      <c r="A48" s="68">
        <v>46</v>
      </c>
      <c r="D48" s="70"/>
      <c r="E48" s="70"/>
      <c r="J48" s="69" t="s">
        <v>2031</v>
      </c>
      <c r="K48" s="69" t="s">
        <v>1757</v>
      </c>
      <c r="T48" s="69" t="s">
        <v>2032</v>
      </c>
      <c r="U48" s="71" t="s">
        <v>2033</v>
      </c>
    </row>
    <row r="49" spans="1:21" ht="17.399999999999999">
      <c r="A49" s="68">
        <v>47</v>
      </c>
      <c r="D49" s="70"/>
      <c r="E49" s="70"/>
      <c r="J49" s="69" t="s">
        <v>2034</v>
      </c>
      <c r="K49" s="69" t="s">
        <v>2035</v>
      </c>
      <c r="T49" s="69" t="s">
        <v>2036</v>
      </c>
      <c r="U49" s="71" t="s">
        <v>2037</v>
      </c>
    </row>
    <row r="50" spans="1:21" ht="17.399999999999999">
      <c r="A50" s="68">
        <v>48</v>
      </c>
      <c r="D50" s="70"/>
      <c r="E50" s="70"/>
      <c r="J50" s="69" t="s">
        <v>2038</v>
      </c>
      <c r="K50" s="69" t="s">
        <v>2039</v>
      </c>
      <c r="T50" s="69" t="s">
        <v>2040</v>
      </c>
      <c r="U50" s="71" t="s">
        <v>2041</v>
      </c>
    </row>
    <row r="51" spans="1:21" ht="17.399999999999999">
      <c r="A51" s="68">
        <v>49</v>
      </c>
      <c r="D51" s="70"/>
      <c r="E51" s="70"/>
      <c r="J51" s="69" t="s">
        <v>2042</v>
      </c>
      <c r="K51" s="69" t="s">
        <v>2043</v>
      </c>
      <c r="T51" s="69" t="s">
        <v>2044</v>
      </c>
      <c r="U51" s="71" t="s">
        <v>2045</v>
      </c>
    </row>
    <row r="52" spans="1:21" ht="17.399999999999999">
      <c r="A52" s="68">
        <v>50</v>
      </c>
      <c r="D52" s="70"/>
      <c r="E52" s="70"/>
      <c r="J52" s="69" t="s">
        <v>2046</v>
      </c>
      <c r="K52" s="69" t="s">
        <v>2047</v>
      </c>
      <c r="T52" s="69" t="s">
        <v>2048</v>
      </c>
      <c r="U52" s="71" t="s">
        <v>2049</v>
      </c>
    </row>
    <row r="53" spans="1:21" ht="17.399999999999999">
      <c r="A53" s="68">
        <v>51</v>
      </c>
      <c r="D53" s="70"/>
      <c r="E53" s="70"/>
      <c r="J53" s="69" t="s">
        <v>2050</v>
      </c>
      <c r="K53" s="69" t="s">
        <v>2051</v>
      </c>
      <c r="T53" s="69" t="s">
        <v>2052</v>
      </c>
      <c r="U53" s="71" t="s">
        <v>2053</v>
      </c>
    </row>
    <row r="54" spans="1:21" ht="17.399999999999999">
      <c r="A54" s="68">
        <v>52</v>
      </c>
      <c r="D54" s="70"/>
      <c r="E54" s="70"/>
      <c r="J54" s="69" t="s">
        <v>2054</v>
      </c>
      <c r="K54" s="69" t="s">
        <v>2055</v>
      </c>
    </row>
    <row r="55" spans="1:21" ht="17.399999999999999">
      <c r="A55" s="68">
        <v>53</v>
      </c>
      <c r="D55" s="70"/>
      <c r="E55" s="70"/>
      <c r="J55" s="69" t="s">
        <v>2056</v>
      </c>
      <c r="K55" s="69" t="s">
        <v>2057</v>
      </c>
    </row>
    <row r="56" spans="1:21" ht="17.399999999999999">
      <c r="A56" s="68">
        <v>54</v>
      </c>
      <c r="D56" s="70"/>
      <c r="E56" s="70"/>
      <c r="J56" s="69" t="s">
        <v>2058</v>
      </c>
      <c r="K56" s="69" t="s">
        <v>2059</v>
      </c>
    </row>
    <row r="57" spans="1:21" ht="17.399999999999999">
      <c r="A57" s="68">
        <v>55</v>
      </c>
      <c r="D57" s="70"/>
      <c r="E57" s="70"/>
      <c r="J57" s="69" t="s">
        <v>2060</v>
      </c>
      <c r="K57" s="69" t="s">
        <v>2061</v>
      </c>
    </row>
    <row r="58" spans="1:21" ht="17.399999999999999">
      <c r="A58" s="68">
        <v>56</v>
      </c>
      <c r="D58" s="70"/>
      <c r="E58" s="70"/>
      <c r="J58" s="69" t="s">
        <v>2062</v>
      </c>
      <c r="K58" s="69" t="s">
        <v>2063</v>
      </c>
    </row>
    <row r="59" spans="1:21" ht="17.399999999999999">
      <c r="A59" s="68">
        <v>57</v>
      </c>
      <c r="D59" s="70"/>
      <c r="E59" s="70"/>
      <c r="J59" s="69" t="s">
        <v>2064</v>
      </c>
      <c r="K59" s="69" t="s">
        <v>2065</v>
      </c>
    </row>
    <row r="60" spans="1:21" ht="17.399999999999999">
      <c r="A60" s="68">
        <v>58</v>
      </c>
      <c r="D60" s="70"/>
      <c r="E60" s="70"/>
      <c r="J60" s="69" t="s">
        <v>2066</v>
      </c>
      <c r="K60" s="69" t="s">
        <v>2067</v>
      </c>
    </row>
    <row r="61" spans="1:21" ht="17.399999999999999">
      <c r="A61" s="68">
        <v>59</v>
      </c>
      <c r="D61" s="70"/>
      <c r="E61" s="70"/>
      <c r="J61" s="69" t="s">
        <v>2068</v>
      </c>
      <c r="K61" s="69" t="s">
        <v>514</v>
      </c>
    </row>
    <row r="62" spans="1:21" ht="17.399999999999999">
      <c r="A62" s="68">
        <v>60</v>
      </c>
      <c r="D62" s="70"/>
      <c r="E62" s="70"/>
      <c r="J62" s="69" t="s">
        <v>2069</v>
      </c>
      <c r="K62" s="69" t="s">
        <v>1966</v>
      </c>
    </row>
    <row r="63" spans="1:21" ht="17.399999999999999">
      <c r="A63" s="68">
        <v>61</v>
      </c>
      <c r="D63" s="70"/>
      <c r="E63" s="70"/>
      <c r="J63" s="69" t="s">
        <v>2070</v>
      </c>
      <c r="K63" s="69" t="s">
        <v>2071</v>
      </c>
    </row>
    <row r="64" spans="1:21" ht="17.399999999999999">
      <c r="A64" s="68">
        <v>62</v>
      </c>
      <c r="D64" s="70"/>
      <c r="E64" s="70"/>
      <c r="J64" s="69" t="s">
        <v>2072</v>
      </c>
      <c r="K64" s="69" t="s">
        <v>2073</v>
      </c>
    </row>
    <row r="65" spans="1:11" ht="17.399999999999999">
      <c r="A65" s="68">
        <v>63</v>
      </c>
      <c r="D65" s="70"/>
      <c r="E65" s="70"/>
      <c r="J65" s="69" t="s">
        <v>2074</v>
      </c>
      <c r="K65" s="69" t="s">
        <v>2075</v>
      </c>
    </row>
    <row r="66" spans="1:11" ht="17.399999999999999">
      <c r="A66" s="68">
        <v>64</v>
      </c>
      <c r="D66" s="70"/>
      <c r="E66" s="70"/>
      <c r="J66" s="69" t="s">
        <v>2076</v>
      </c>
      <c r="K66" s="69" t="s">
        <v>2077</v>
      </c>
    </row>
    <row r="67" spans="1:11" ht="17.399999999999999">
      <c r="A67" s="68">
        <v>65</v>
      </c>
      <c r="D67" s="70"/>
      <c r="E67" s="70"/>
      <c r="J67" s="69" t="s">
        <v>2078</v>
      </c>
      <c r="K67" s="69" t="s">
        <v>2079</v>
      </c>
    </row>
    <row r="68" spans="1:11" ht="17.399999999999999">
      <c r="A68" s="68">
        <v>66</v>
      </c>
      <c r="D68" s="70"/>
      <c r="E68" s="70"/>
      <c r="J68" s="69" t="s">
        <v>2080</v>
      </c>
      <c r="K68" s="69" t="s">
        <v>2081</v>
      </c>
    </row>
    <row r="69" spans="1:11" ht="17.399999999999999">
      <c r="A69" s="68">
        <v>67</v>
      </c>
      <c r="D69" s="70"/>
      <c r="E69" s="70"/>
      <c r="J69" s="69" t="s">
        <v>2082</v>
      </c>
      <c r="K69" s="69" t="s">
        <v>2083</v>
      </c>
    </row>
    <row r="70" spans="1:11" ht="17.399999999999999">
      <c r="A70" s="68">
        <v>68</v>
      </c>
      <c r="D70" s="70"/>
      <c r="E70" s="70"/>
      <c r="J70" s="69" t="s">
        <v>2084</v>
      </c>
      <c r="K70" s="69" t="s">
        <v>2085</v>
      </c>
    </row>
    <row r="71" spans="1:11" ht="17.399999999999999">
      <c r="A71" s="68">
        <v>69</v>
      </c>
      <c r="D71" s="70"/>
      <c r="E71" s="70"/>
      <c r="J71" s="69" t="s">
        <v>2086</v>
      </c>
      <c r="K71" s="69" t="s">
        <v>2087</v>
      </c>
    </row>
    <row r="72" spans="1:11">
      <c r="A72" s="68">
        <v>70</v>
      </c>
      <c r="J72" s="69" t="s">
        <v>2088</v>
      </c>
      <c r="K72" s="69" t="s">
        <v>2089</v>
      </c>
    </row>
    <row r="73" spans="1:11">
      <c r="A73" s="68">
        <v>71</v>
      </c>
      <c r="J73" s="69" t="s">
        <v>2090</v>
      </c>
      <c r="K73" s="69" t="s">
        <v>2091</v>
      </c>
    </row>
    <row r="74" spans="1:11">
      <c r="A74" s="68">
        <v>72</v>
      </c>
      <c r="J74" s="69" t="s">
        <v>2092</v>
      </c>
      <c r="K74" s="69" t="s">
        <v>2093</v>
      </c>
    </row>
    <row r="75" spans="1:11">
      <c r="A75" s="68">
        <v>73</v>
      </c>
      <c r="J75" s="69" t="s">
        <v>2094</v>
      </c>
      <c r="K75" s="69" t="s">
        <v>2095</v>
      </c>
    </row>
    <row r="76" spans="1:11">
      <c r="A76" s="68">
        <v>74</v>
      </c>
      <c r="J76" s="69" t="s">
        <v>2096</v>
      </c>
      <c r="K76" s="69" t="s">
        <v>2097</v>
      </c>
    </row>
    <row r="77" spans="1:11">
      <c r="A77" s="68">
        <v>75</v>
      </c>
      <c r="J77" s="69" t="s">
        <v>2098</v>
      </c>
      <c r="K77" s="69" t="s">
        <v>2099</v>
      </c>
    </row>
    <row r="78" spans="1:11">
      <c r="A78" s="68">
        <v>76</v>
      </c>
      <c r="J78" s="69" t="s">
        <v>2100</v>
      </c>
      <c r="K78" s="69" t="s">
        <v>2101</v>
      </c>
    </row>
    <row r="79" spans="1:11">
      <c r="A79" s="68">
        <v>77</v>
      </c>
      <c r="J79" s="69" t="s">
        <v>2102</v>
      </c>
      <c r="K79" s="69" t="s">
        <v>2103</v>
      </c>
    </row>
    <row r="80" spans="1:11">
      <c r="A80" s="68">
        <v>78</v>
      </c>
      <c r="J80" s="69" t="s">
        <v>2104</v>
      </c>
      <c r="K80" s="69" t="s">
        <v>2105</v>
      </c>
    </row>
    <row r="81" spans="1:11">
      <c r="A81" s="68">
        <v>79</v>
      </c>
      <c r="J81" s="69" t="s">
        <v>2106</v>
      </c>
      <c r="K81" s="69" t="s">
        <v>2107</v>
      </c>
    </row>
    <row r="82" spans="1:11">
      <c r="A82" s="68">
        <v>80</v>
      </c>
      <c r="J82" s="69" t="s">
        <v>2108</v>
      </c>
      <c r="K82" s="69" t="s">
        <v>2109</v>
      </c>
    </row>
    <row r="83" spans="1:11">
      <c r="A83" s="68">
        <v>81</v>
      </c>
      <c r="J83" s="69" t="s">
        <v>2110</v>
      </c>
      <c r="K83" s="69" t="s">
        <v>2111</v>
      </c>
    </row>
    <row r="84" spans="1:11">
      <c r="A84" s="68">
        <v>82</v>
      </c>
      <c r="J84" s="69" t="s">
        <v>2112</v>
      </c>
      <c r="K84" s="69" t="s">
        <v>2113</v>
      </c>
    </row>
    <row r="85" spans="1:11">
      <c r="A85" s="68">
        <v>83</v>
      </c>
      <c r="J85" s="69" t="s">
        <v>2114</v>
      </c>
      <c r="K85" s="69" t="s">
        <v>2115</v>
      </c>
    </row>
    <row r="86" spans="1:11">
      <c r="A86" s="68">
        <v>84</v>
      </c>
      <c r="J86" s="69" t="s">
        <v>2116</v>
      </c>
      <c r="K86" s="69" t="s">
        <v>2117</v>
      </c>
    </row>
    <row r="87" spans="1:11">
      <c r="A87" s="68">
        <v>85</v>
      </c>
      <c r="J87" s="69" t="s">
        <v>2118</v>
      </c>
      <c r="K87" s="69" t="s">
        <v>2119</v>
      </c>
    </row>
    <row r="88" spans="1:11">
      <c r="A88" s="68">
        <v>86</v>
      </c>
      <c r="J88" s="69" t="s">
        <v>2120</v>
      </c>
      <c r="K88" s="69" t="s">
        <v>2121</v>
      </c>
    </row>
    <row r="89" spans="1:11">
      <c r="A89" s="68">
        <v>87</v>
      </c>
      <c r="J89" s="69" t="s">
        <v>2122</v>
      </c>
      <c r="K89" s="69" t="s">
        <v>2123</v>
      </c>
    </row>
    <row r="90" spans="1:11">
      <c r="A90" s="68">
        <v>88</v>
      </c>
      <c r="J90" s="69" t="s">
        <v>2124</v>
      </c>
      <c r="K90" s="69" t="s">
        <v>2125</v>
      </c>
    </row>
    <row r="91" spans="1:11">
      <c r="A91" s="68">
        <v>89</v>
      </c>
      <c r="J91" s="69" t="s">
        <v>2126</v>
      </c>
      <c r="K91" s="69" t="s">
        <v>2127</v>
      </c>
    </row>
    <row r="92" spans="1:11">
      <c r="A92" s="68">
        <v>90</v>
      </c>
      <c r="J92" s="69" t="s">
        <v>2128</v>
      </c>
      <c r="K92" s="69" t="s">
        <v>1814</v>
      </c>
    </row>
    <row r="93" spans="1:11">
      <c r="A93" s="68">
        <v>91</v>
      </c>
      <c r="J93" s="69" t="s">
        <v>2129</v>
      </c>
      <c r="K93" s="69" t="s">
        <v>2130</v>
      </c>
    </row>
    <row r="94" spans="1:11">
      <c r="A94" s="68">
        <v>92</v>
      </c>
      <c r="J94" s="69" t="s">
        <v>2131</v>
      </c>
      <c r="K94" s="69" t="s">
        <v>1738</v>
      </c>
    </row>
    <row r="95" spans="1:11">
      <c r="A95" s="68">
        <v>93</v>
      </c>
      <c r="J95" s="69" t="s">
        <v>2132</v>
      </c>
      <c r="K95" s="69" t="s">
        <v>2133</v>
      </c>
    </row>
    <row r="96" spans="1:11">
      <c r="A96" s="68">
        <v>94</v>
      </c>
      <c r="J96" s="69" t="s">
        <v>2134</v>
      </c>
      <c r="K96" s="69" t="s">
        <v>2135</v>
      </c>
    </row>
    <row r="97" spans="1:11">
      <c r="A97" s="68">
        <v>95</v>
      </c>
      <c r="J97" s="69" t="s">
        <v>2136</v>
      </c>
      <c r="K97" s="69" t="s">
        <v>2137</v>
      </c>
    </row>
    <row r="98" spans="1:11">
      <c r="A98" s="68">
        <v>96</v>
      </c>
      <c r="J98" s="69" t="s">
        <v>2138</v>
      </c>
      <c r="K98" s="69" t="s">
        <v>2139</v>
      </c>
    </row>
    <row r="99" spans="1:11">
      <c r="A99" s="68">
        <v>97</v>
      </c>
      <c r="J99" s="69" t="s">
        <v>2140</v>
      </c>
      <c r="K99" s="69" t="s">
        <v>2141</v>
      </c>
    </row>
    <row r="100" spans="1:11">
      <c r="A100" s="68">
        <v>98</v>
      </c>
      <c r="J100" s="69" t="s">
        <v>2142</v>
      </c>
      <c r="K100" s="69" t="s">
        <v>2143</v>
      </c>
    </row>
    <row r="101" spans="1:11">
      <c r="A101" s="68">
        <v>99</v>
      </c>
      <c r="J101" s="69" t="s">
        <v>2144</v>
      </c>
      <c r="K101" s="69" t="s">
        <v>2145</v>
      </c>
    </row>
    <row r="102" spans="1:11">
      <c r="A102" s="68">
        <v>100</v>
      </c>
      <c r="J102" s="69" t="s">
        <v>2146</v>
      </c>
      <c r="K102" s="69" t="s">
        <v>2147</v>
      </c>
    </row>
    <row r="103" spans="1:11">
      <c r="A103" s="68">
        <v>101</v>
      </c>
      <c r="J103" s="69" t="s">
        <v>2148</v>
      </c>
      <c r="K103" s="69" t="s">
        <v>1955</v>
      </c>
    </row>
    <row r="104" spans="1:11">
      <c r="A104" s="68">
        <v>102</v>
      </c>
      <c r="J104" s="69" t="s">
        <v>2149</v>
      </c>
      <c r="K104" s="69" t="s">
        <v>1897</v>
      </c>
    </row>
    <row r="105" spans="1:11">
      <c r="A105" s="68">
        <v>103</v>
      </c>
      <c r="J105" s="69" t="s">
        <v>2150</v>
      </c>
      <c r="K105" s="69" t="s">
        <v>2151</v>
      </c>
    </row>
    <row r="106" spans="1:11">
      <c r="A106" s="68">
        <v>104</v>
      </c>
      <c r="J106" s="69" t="s">
        <v>2152</v>
      </c>
      <c r="K106" s="69" t="s">
        <v>1938</v>
      </c>
    </row>
    <row r="107" spans="1:11">
      <c r="A107" s="68">
        <v>105</v>
      </c>
      <c r="J107" s="69" t="s">
        <v>2153</v>
      </c>
      <c r="K107" s="69" t="s">
        <v>2154</v>
      </c>
    </row>
    <row r="108" spans="1:11">
      <c r="A108" s="68">
        <v>106</v>
      </c>
      <c r="J108" s="69" t="s">
        <v>2155</v>
      </c>
      <c r="K108" s="69" t="s">
        <v>2156</v>
      </c>
    </row>
    <row r="109" spans="1:11">
      <c r="A109" s="68">
        <v>107</v>
      </c>
      <c r="J109" s="69" t="s">
        <v>2157</v>
      </c>
      <c r="K109" s="69" t="s">
        <v>2158</v>
      </c>
    </row>
    <row r="110" spans="1:11">
      <c r="A110" s="68">
        <v>108</v>
      </c>
      <c r="J110" s="69" t="s">
        <v>2159</v>
      </c>
      <c r="K110" s="69" t="s">
        <v>2160</v>
      </c>
    </row>
    <row r="111" spans="1:11">
      <c r="A111" s="68">
        <v>109</v>
      </c>
      <c r="J111" s="69" t="s">
        <v>2161</v>
      </c>
      <c r="K111" s="69" t="s">
        <v>2162</v>
      </c>
    </row>
    <row r="112" spans="1:11">
      <c r="A112" s="68">
        <v>110</v>
      </c>
      <c r="J112" s="69" t="s">
        <v>2163</v>
      </c>
      <c r="K112" s="69" t="s">
        <v>2164</v>
      </c>
    </row>
    <row r="113" spans="1:11">
      <c r="A113" s="68">
        <v>111</v>
      </c>
      <c r="J113" s="69" t="s">
        <v>2165</v>
      </c>
      <c r="K113" s="69" t="s">
        <v>2166</v>
      </c>
    </row>
    <row r="114" spans="1:11">
      <c r="A114" s="68">
        <v>112</v>
      </c>
      <c r="J114" s="69" t="s">
        <v>2167</v>
      </c>
      <c r="K114" s="69" t="s">
        <v>2168</v>
      </c>
    </row>
    <row r="115" spans="1:11">
      <c r="A115" s="68">
        <v>113</v>
      </c>
      <c r="J115" s="69" t="s">
        <v>2169</v>
      </c>
      <c r="K115" s="69" t="s">
        <v>2170</v>
      </c>
    </row>
    <row r="116" spans="1:11">
      <c r="A116" s="68">
        <v>114</v>
      </c>
      <c r="J116" s="69" t="s">
        <v>2171</v>
      </c>
      <c r="K116" s="69" t="s">
        <v>2172</v>
      </c>
    </row>
    <row r="117" spans="1:11">
      <c r="A117" s="68">
        <v>115</v>
      </c>
      <c r="J117" s="69" t="s">
        <v>2173</v>
      </c>
      <c r="K117" s="69" t="s">
        <v>2174</v>
      </c>
    </row>
    <row r="118" spans="1:11">
      <c r="A118" s="68">
        <v>116</v>
      </c>
      <c r="J118" s="69" t="s">
        <v>2175</v>
      </c>
      <c r="K118" s="69" t="s">
        <v>2176</v>
      </c>
    </row>
    <row r="119" spans="1:11">
      <c r="A119" s="68">
        <v>117</v>
      </c>
      <c r="J119" s="69" t="s">
        <v>2177</v>
      </c>
      <c r="K119" s="69" t="s">
        <v>2178</v>
      </c>
    </row>
    <row r="120" spans="1:11">
      <c r="A120" s="68">
        <v>118</v>
      </c>
      <c r="J120" s="69" t="s">
        <v>2179</v>
      </c>
      <c r="K120" s="69" t="s">
        <v>2180</v>
      </c>
    </row>
    <row r="121" spans="1:11">
      <c r="A121" s="68">
        <v>119</v>
      </c>
      <c r="J121" s="69" t="s">
        <v>2181</v>
      </c>
      <c r="K121" s="69" t="s">
        <v>2182</v>
      </c>
    </row>
    <row r="122" spans="1:11">
      <c r="A122" s="68">
        <v>120</v>
      </c>
      <c r="J122" s="69" t="s">
        <v>2183</v>
      </c>
      <c r="K122" s="69" t="s">
        <v>2184</v>
      </c>
    </row>
    <row r="123" spans="1:11">
      <c r="A123" s="68">
        <v>121</v>
      </c>
      <c r="J123" s="69" t="s">
        <v>2185</v>
      </c>
      <c r="K123" s="69" t="s">
        <v>2186</v>
      </c>
    </row>
    <row r="124" spans="1:11">
      <c r="A124" s="68">
        <v>122</v>
      </c>
      <c r="J124" s="69" t="s">
        <v>2187</v>
      </c>
      <c r="K124" s="69" t="s">
        <v>1834</v>
      </c>
    </row>
    <row r="125" spans="1:11">
      <c r="A125" s="68">
        <v>123</v>
      </c>
      <c r="J125" s="69" t="s">
        <v>2188</v>
      </c>
      <c r="K125" s="69" t="s">
        <v>1971</v>
      </c>
    </row>
    <row r="126" spans="1:11">
      <c r="A126" s="68">
        <v>124</v>
      </c>
      <c r="J126" s="69" t="s">
        <v>2189</v>
      </c>
      <c r="K126" s="69" t="s">
        <v>2190</v>
      </c>
    </row>
    <row r="127" spans="1:11">
      <c r="A127" s="68">
        <v>125</v>
      </c>
      <c r="J127" s="69" t="s">
        <v>2191</v>
      </c>
      <c r="K127" s="69" t="s">
        <v>2192</v>
      </c>
    </row>
    <row r="128" spans="1:11">
      <c r="A128" s="68">
        <v>126</v>
      </c>
      <c r="J128" s="69" t="s">
        <v>2193</v>
      </c>
      <c r="K128" s="69" t="s">
        <v>2194</v>
      </c>
    </row>
    <row r="129" spans="1:11">
      <c r="A129" s="68">
        <v>127</v>
      </c>
      <c r="J129" s="69" t="s">
        <v>2195</v>
      </c>
      <c r="K129" s="69" t="s">
        <v>2196</v>
      </c>
    </row>
    <row r="130" spans="1:11">
      <c r="A130" s="68">
        <v>128</v>
      </c>
      <c r="J130" s="69" t="s">
        <v>2197</v>
      </c>
      <c r="K130" s="69" t="s">
        <v>2198</v>
      </c>
    </row>
    <row r="131" spans="1:11">
      <c r="A131" s="68">
        <v>129</v>
      </c>
      <c r="J131" s="69" t="s">
        <v>2199</v>
      </c>
      <c r="K131" s="69" t="s">
        <v>2200</v>
      </c>
    </row>
    <row r="132" spans="1:11">
      <c r="A132" s="68">
        <v>130</v>
      </c>
      <c r="J132" s="69" t="s">
        <v>2201</v>
      </c>
      <c r="K132" s="69" t="s">
        <v>2202</v>
      </c>
    </row>
    <row r="133" spans="1:11">
      <c r="A133" s="68">
        <v>131</v>
      </c>
      <c r="J133" s="69" t="s">
        <v>2203</v>
      </c>
      <c r="K133" s="69" t="s">
        <v>2204</v>
      </c>
    </row>
    <row r="134" spans="1:11">
      <c r="A134" s="68">
        <v>132</v>
      </c>
      <c r="J134" s="69" t="s">
        <v>2205</v>
      </c>
      <c r="K134" s="69" t="s">
        <v>2206</v>
      </c>
    </row>
    <row r="135" spans="1:11">
      <c r="A135" s="68">
        <v>133</v>
      </c>
      <c r="J135" s="69" t="s">
        <v>2207</v>
      </c>
      <c r="K135" s="69" t="s">
        <v>2208</v>
      </c>
    </row>
    <row r="136" spans="1:11">
      <c r="A136" s="68">
        <v>134</v>
      </c>
      <c r="J136" s="69" t="s">
        <v>2209</v>
      </c>
      <c r="K136" s="69" t="s">
        <v>2210</v>
      </c>
    </row>
    <row r="137" spans="1:11">
      <c r="A137" s="68">
        <v>135</v>
      </c>
      <c r="J137" s="69" t="s">
        <v>2211</v>
      </c>
      <c r="K137" s="69" t="s">
        <v>2212</v>
      </c>
    </row>
    <row r="138" spans="1:11">
      <c r="A138" s="68">
        <v>136</v>
      </c>
      <c r="J138" s="69" t="s">
        <v>2213</v>
      </c>
      <c r="K138" s="69" t="s">
        <v>2214</v>
      </c>
    </row>
    <row r="139" spans="1:11">
      <c r="A139" s="68">
        <v>137</v>
      </c>
      <c r="J139" s="69" t="s">
        <v>2215</v>
      </c>
      <c r="K139" s="69" t="s">
        <v>2216</v>
      </c>
    </row>
    <row r="140" spans="1:11">
      <c r="A140" s="68">
        <v>138</v>
      </c>
      <c r="J140" s="69" t="s">
        <v>2217</v>
      </c>
      <c r="K140" s="69" t="s">
        <v>2218</v>
      </c>
    </row>
    <row r="141" spans="1:11">
      <c r="A141" s="68">
        <v>139</v>
      </c>
      <c r="J141" s="69" t="s">
        <v>2219</v>
      </c>
      <c r="K141" s="69" t="s">
        <v>2220</v>
      </c>
    </row>
    <row r="142" spans="1:11">
      <c r="A142" s="68">
        <v>140</v>
      </c>
      <c r="J142" s="69" t="s">
        <v>2221</v>
      </c>
      <c r="K142" s="69" t="s">
        <v>2222</v>
      </c>
    </row>
    <row r="143" spans="1:11">
      <c r="A143" s="68">
        <v>141</v>
      </c>
      <c r="J143" s="69" t="s">
        <v>2223</v>
      </c>
      <c r="K143" s="69" t="s">
        <v>2224</v>
      </c>
    </row>
    <row r="144" spans="1:11">
      <c r="A144" s="68">
        <v>142</v>
      </c>
      <c r="J144" s="69" t="s">
        <v>2225</v>
      </c>
      <c r="K144" s="69" t="s">
        <v>2226</v>
      </c>
    </row>
    <row r="145" spans="1:11">
      <c r="A145" s="68">
        <v>143</v>
      </c>
      <c r="J145" s="69" t="s">
        <v>2227</v>
      </c>
      <c r="K145" s="69" t="s">
        <v>2228</v>
      </c>
    </row>
    <row r="146" spans="1:11">
      <c r="A146" s="68">
        <v>144</v>
      </c>
      <c r="J146" s="69" t="s">
        <v>2229</v>
      </c>
      <c r="K146" s="69" t="s">
        <v>2230</v>
      </c>
    </row>
    <row r="147" spans="1:11">
      <c r="A147" s="68">
        <v>145</v>
      </c>
      <c r="J147" s="69" t="s">
        <v>2231</v>
      </c>
      <c r="K147" s="69" t="s">
        <v>2232</v>
      </c>
    </row>
    <row r="148" spans="1:11">
      <c r="A148" s="68">
        <v>146</v>
      </c>
      <c r="J148" s="69" t="s">
        <v>2233</v>
      </c>
      <c r="K148" s="69" t="s">
        <v>2234</v>
      </c>
    </row>
    <row r="149" spans="1:11">
      <c r="A149" s="68">
        <v>147</v>
      </c>
      <c r="J149" s="69" t="s">
        <v>2235</v>
      </c>
      <c r="K149" s="69" t="s">
        <v>2236</v>
      </c>
    </row>
    <row r="150" spans="1:11">
      <c r="A150" s="68">
        <v>148</v>
      </c>
      <c r="J150" s="69" t="s">
        <v>2237</v>
      </c>
      <c r="K150" s="69" t="s">
        <v>2238</v>
      </c>
    </row>
    <row r="151" spans="1:11">
      <c r="A151" s="68">
        <v>149</v>
      </c>
      <c r="J151" s="69" t="s">
        <v>2239</v>
      </c>
      <c r="K151" s="69" t="s">
        <v>2240</v>
      </c>
    </row>
    <row r="152" spans="1:11">
      <c r="A152" s="68">
        <v>150</v>
      </c>
      <c r="J152" s="69" t="s">
        <v>2241</v>
      </c>
      <c r="K152" s="69" t="s">
        <v>2242</v>
      </c>
    </row>
    <row r="153" spans="1:11">
      <c r="A153" s="68">
        <v>151</v>
      </c>
      <c r="J153" s="69" t="s">
        <v>2243</v>
      </c>
      <c r="K153" s="69" t="s">
        <v>2244</v>
      </c>
    </row>
    <row r="154" spans="1:11">
      <c r="A154" s="68">
        <v>152</v>
      </c>
      <c r="J154" s="69" t="s">
        <v>2245</v>
      </c>
      <c r="K154" s="69" t="s">
        <v>2246</v>
      </c>
    </row>
    <row r="155" spans="1:11">
      <c r="A155" s="68">
        <v>153</v>
      </c>
      <c r="J155" s="69" t="s">
        <v>2247</v>
      </c>
      <c r="K155" s="69" t="s">
        <v>2248</v>
      </c>
    </row>
    <row r="156" spans="1:11">
      <c r="A156" s="68">
        <v>154</v>
      </c>
      <c r="J156" s="69" t="s">
        <v>2249</v>
      </c>
      <c r="K156" s="69" t="s">
        <v>2250</v>
      </c>
    </row>
    <row r="157" spans="1:11">
      <c r="A157" s="68">
        <v>155</v>
      </c>
      <c r="J157" s="69" t="s">
        <v>2251</v>
      </c>
      <c r="K157" s="69" t="s">
        <v>2252</v>
      </c>
    </row>
    <row r="158" spans="1:11">
      <c r="A158" s="68">
        <v>156</v>
      </c>
      <c r="J158" s="69" t="s">
        <v>2253</v>
      </c>
      <c r="K158" s="69" t="s">
        <v>2254</v>
      </c>
    </row>
    <row r="159" spans="1:11">
      <c r="A159" s="68">
        <v>157</v>
      </c>
      <c r="J159" s="69" t="s">
        <v>2255</v>
      </c>
      <c r="K159" s="69" t="s">
        <v>2256</v>
      </c>
    </row>
    <row r="160" spans="1:11">
      <c r="A160" s="68">
        <v>158</v>
      </c>
      <c r="J160" s="69" t="s">
        <v>2257</v>
      </c>
      <c r="K160" s="69" t="s">
        <v>2258</v>
      </c>
    </row>
    <row r="161" spans="1:11">
      <c r="A161" s="68">
        <v>159</v>
      </c>
      <c r="J161" s="69" t="s">
        <v>2259</v>
      </c>
      <c r="K161" s="69" t="s">
        <v>2260</v>
      </c>
    </row>
    <row r="162" spans="1:11">
      <c r="A162" s="68">
        <v>160</v>
      </c>
      <c r="J162" s="69" t="s">
        <v>2261</v>
      </c>
      <c r="K162" s="69" t="s">
        <v>2262</v>
      </c>
    </row>
    <row r="163" spans="1:11">
      <c r="A163" s="68">
        <v>161</v>
      </c>
      <c r="J163" s="69" t="s">
        <v>2263</v>
      </c>
      <c r="K163" s="69" t="s">
        <v>2264</v>
      </c>
    </row>
    <row r="164" spans="1:11">
      <c r="A164" s="68">
        <v>162</v>
      </c>
      <c r="J164" s="69" t="s">
        <v>2265</v>
      </c>
      <c r="K164" s="69" t="s">
        <v>2266</v>
      </c>
    </row>
    <row r="165" spans="1:11">
      <c r="A165" s="68">
        <v>163</v>
      </c>
      <c r="J165" s="69" t="s">
        <v>2267</v>
      </c>
      <c r="K165" s="69" t="s">
        <v>2268</v>
      </c>
    </row>
    <row r="166" spans="1:11">
      <c r="A166" s="68">
        <v>164</v>
      </c>
      <c r="J166" s="69" t="s">
        <v>2269</v>
      </c>
      <c r="K166" s="69" t="s">
        <v>2270</v>
      </c>
    </row>
    <row r="167" spans="1:11">
      <c r="A167" s="68">
        <v>165</v>
      </c>
      <c r="J167" s="69" t="s">
        <v>2271</v>
      </c>
      <c r="K167" s="69" t="s">
        <v>2272</v>
      </c>
    </row>
    <row r="168" spans="1:11">
      <c r="A168" s="68">
        <v>166</v>
      </c>
      <c r="J168" s="69" t="s">
        <v>2273</v>
      </c>
      <c r="K168" s="69" t="s">
        <v>2274</v>
      </c>
    </row>
    <row r="169" spans="1:11">
      <c r="A169" s="68">
        <v>167</v>
      </c>
      <c r="J169" s="69" t="s">
        <v>2275</v>
      </c>
      <c r="K169" s="69" t="s">
        <v>2276</v>
      </c>
    </row>
    <row r="170" spans="1:11">
      <c r="A170" s="68">
        <v>168</v>
      </c>
      <c r="J170" s="69" t="s">
        <v>2277</v>
      </c>
      <c r="K170" s="69" t="s">
        <v>2278</v>
      </c>
    </row>
    <row r="171" spans="1:11">
      <c r="A171" s="68">
        <v>169</v>
      </c>
      <c r="J171" s="69" t="s">
        <v>2279</v>
      </c>
      <c r="K171" s="69" t="s">
        <v>2280</v>
      </c>
    </row>
    <row r="172" spans="1:11">
      <c r="A172" s="68">
        <v>170</v>
      </c>
      <c r="J172" s="69" t="s">
        <v>2281</v>
      </c>
      <c r="K172" s="69" t="s">
        <v>2282</v>
      </c>
    </row>
    <row r="173" spans="1:11">
      <c r="A173" s="68">
        <v>171</v>
      </c>
      <c r="J173" s="69" t="s">
        <v>2283</v>
      </c>
      <c r="K173" s="69" t="s">
        <v>2284</v>
      </c>
    </row>
    <row r="174" spans="1:11">
      <c r="A174" s="68">
        <v>172</v>
      </c>
      <c r="J174" s="69" t="s">
        <v>2285</v>
      </c>
      <c r="K174" s="69" t="s">
        <v>2286</v>
      </c>
    </row>
    <row r="175" spans="1:11">
      <c r="A175" s="68">
        <v>173</v>
      </c>
      <c r="J175" s="69" t="s">
        <v>2287</v>
      </c>
      <c r="K175" s="69" t="s">
        <v>2288</v>
      </c>
    </row>
    <row r="176" spans="1:11">
      <c r="J176" s="69" t="s">
        <v>2289</v>
      </c>
      <c r="K176" s="69" t="s">
        <v>2290</v>
      </c>
    </row>
    <row r="177" spans="10:11">
      <c r="J177" s="69" t="s">
        <v>2291</v>
      </c>
      <c r="K177" s="69" t="s">
        <v>2292</v>
      </c>
    </row>
    <row r="178" spans="10:11">
      <c r="J178" s="69" t="s">
        <v>2293</v>
      </c>
      <c r="K178" s="69" t="s">
        <v>2294</v>
      </c>
    </row>
    <row r="179" spans="10:11">
      <c r="J179" s="69" t="s">
        <v>2295</v>
      </c>
      <c r="K179" s="69" t="s">
        <v>2296</v>
      </c>
    </row>
    <row r="180" spans="10:11">
      <c r="J180" s="69" t="s">
        <v>2297</v>
      </c>
      <c r="K180" s="69" t="s">
        <v>1730</v>
      </c>
    </row>
    <row r="181" spans="10:11">
      <c r="J181" s="69" t="s">
        <v>2298</v>
      </c>
      <c r="K181" s="69" t="s">
        <v>2299</v>
      </c>
    </row>
    <row r="182" spans="10:11">
      <c r="J182" s="69" t="s">
        <v>2300</v>
      </c>
      <c r="K182" s="69" t="s">
        <v>2301</v>
      </c>
    </row>
    <row r="183" spans="10:11">
      <c r="J183" s="69" t="s">
        <v>2302</v>
      </c>
      <c r="K183" s="69" t="s">
        <v>2303</v>
      </c>
    </row>
    <row r="184" spans="10:11">
      <c r="J184" s="69" t="s">
        <v>2304</v>
      </c>
      <c r="K184" s="69" t="s">
        <v>2305</v>
      </c>
    </row>
    <row r="185" spans="10:11">
      <c r="J185" s="69" t="s">
        <v>2306</v>
      </c>
      <c r="K185" s="69" t="s">
        <v>2307</v>
      </c>
    </row>
    <row r="186" spans="10:11">
      <c r="J186" s="69" t="s">
        <v>2308</v>
      </c>
      <c r="K186" s="69" t="s">
        <v>2309</v>
      </c>
    </row>
    <row r="187" spans="10:11">
      <c r="J187" s="69" t="s">
        <v>2310</v>
      </c>
      <c r="K187" s="69" t="s">
        <v>2311</v>
      </c>
    </row>
    <row r="188" spans="10:11">
      <c r="J188" s="69" t="s">
        <v>2312</v>
      </c>
      <c r="K188" s="69" t="s">
        <v>2313</v>
      </c>
    </row>
    <row r="189" spans="10:11">
      <c r="J189" s="69" t="s">
        <v>2314</v>
      </c>
      <c r="K189" s="69" t="s">
        <v>1932</v>
      </c>
    </row>
    <row r="190" spans="10:11">
      <c r="J190" s="69" t="s">
        <v>2315</v>
      </c>
      <c r="K190" s="69" t="s">
        <v>2316</v>
      </c>
    </row>
    <row r="191" spans="10:11">
      <c r="J191" s="69" t="s">
        <v>2317</v>
      </c>
      <c r="K191" s="69" t="s">
        <v>2318</v>
      </c>
    </row>
    <row r="192" spans="10:11">
      <c r="J192" s="69" t="s">
        <v>2319</v>
      </c>
      <c r="K192" s="69" t="s">
        <v>1775</v>
      </c>
    </row>
    <row r="193" spans="10:11">
      <c r="J193" s="69" t="s">
        <v>2320</v>
      </c>
      <c r="K193" s="69" t="s">
        <v>2321</v>
      </c>
    </row>
    <row r="194" spans="10:11">
      <c r="J194" s="69" t="s">
        <v>2322</v>
      </c>
      <c r="K194" s="69" t="s">
        <v>2323</v>
      </c>
    </row>
    <row r="195" spans="10:11">
      <c r="J195" s="69" t="s">
        <v>2324</v>
      </c>
      <c r="K195" s="69" t="s">
        <v>1785</v>
      </c>
    </row>
    <row r="196" spans="10:11">
      <c r="J196" s="69" t="s">
        <v>2325</v>
      </c>
      <c r="K196" s="69" t="s">
        <v>1708</v>
      </c>
    </row>
    <row r="197" spans="10:11">
      <c r="J197" s="69" t="s">
        <v>2326</v>
      </c>
      <c r="K197" s="69" t="s">
        <v>2327</v>
      </c>
    </row>
    <row r="198" spans="10:11">
      <c r="J198" s="69" t="s">
        <v>2328</v>
      </c>
      <c r="K198" s="69" t="s">
        <v>2329</v>
      </c>
    </row>
    <row r="199" spans="10:11">
      <c r="J199" s="69" t="s">
        <v>2330</v>
      </c>
      <c r="K199" s="69" t="s">
        <v>2331</v>
      </c>
    </row>
    <row r="200" spans="10:11">
      <c r="J200" s="69" t="s">
        <v>2332</v>
      </c>
      <c r="K200" s="69" t="s">
        <v>2333</v>
      </c>
    </row>
    <row r="201" spans="10:11">
      <c r="J201" s="69" t="s">
        <v>2334</v>
      </c>
      <c r="K201" s="69" t="s">
        <v>2335</v>
      </c>
    </row>
    <row r="202" spans="10:11">
      <c r="J202" s="69" t="s">
        <v>2336</v>
      </c>
      <c r="K202" s="69" t="s">
        <v>2337</v>
      </c>
    </row>
    <row r="203" spans="10:11">
      <c r="J203" s="69" t="s">
        <v>2338</v>
      </c>
      <c r="K203" s="69" t="s">
        <v>1908</v>
      </c>
    </row>
    <row r="204" spans="10:11">
      <c r="J204" s="69" t="s">
        <v>2339</v>
      </c>
      <c r="K204" s="69" t="s">
        <v>2340</v>
      </c>
    </row>
    <row r="205" spans="10:11">
      <c r="J205" s="69" t="s">
        <v>2341</v>
      </c>
      <c r="K205" s="69" t="s">
        <v>2342</v>
      </c>
    </row>
    <row r="206" spans="10:11">
      <c r="J206" s="69" t="s">
        <v>2343</v>
      </c>
      <c r="K206" s="69" t="s">
        <v>2344</v>
      </c>
    </row>
    <row r="207" spans="10:11">
      <c r="J207" s="69" t="s">
        <v>2345</v>
      </c>
      <c r="K207" s="69" t="s">
        <v>2346</v>
      </c>
    </row>
    <row r="208" spans="10:11">
      <c r="J208" s="69" t="s">
        <v>2347</v>
      </c>
      <c r="K208" s="69" t="s">
        <v>2348</v>
      </c>
    </row>
    <row r="209" spans="10:11">
      <c r="J209" s="69" t="s">
        <v>2349</v>
      </c>
      <c r="K209" s="69" t="s">
        <v>2350</v>
      </c>
    </row>
    <row r="210" spans="10:11">
      <c r="J210" s="69" t="s">
        <v>2351</v>
      </c>
      <c r="K210" s="69" t="s">
        <v>2352</v>
      </c>
    </row>
    <row r="211" spans="10:11">
      <c r="J211" s="69" t="s">
        <v>2353</v>
      </c>
      <c r="K211" s="69" t="s">
        <v>2354</v>
      </c>
    </row>
    <row r="212" spans="10:11">
      <c r="J212" s="69" t="s">
        <v>2355</v>
      </c>
      <c r="K212" s="69" t="s">
        <v>1885</v>
      </c>
    </row>
    <row r="213" spans="10:11">
      <c r="J213" s="69" t="s">
        <v>2356</v>
      </c>
      <c r="K213" s="69" t="s">
        <v>2357</v>
      </c>
    </row>
    <row r="214" spans="10:11">
      <c r="J214" s="69" t="s">
        <v>2358</v>
      </c>
      <c r="K214" s="69" t="s">
        <v>2359</v>
      </c>
    </row>
    <row r="215" spans="10:11">
      <c r="J215" s="69" t="s">
        <v>2360</v>
      </c>
      <c r="K215" s="69" t="s">
        <v>2361</v>
      </c>
    </row>
    <row r="216" spans="10:11">
      <c r="J216" s="69" t="s">
        <v>2362</v>
      </c>
      <c r="K216" s="69" t="s">
        <v>2363</v>
      </c>
    </row>
    <row r="217" spans="10:11">
      <c r="J217" s="69" t="s">
        <v>2364</v>
      </c>
      <c r="K217" s="69" t="s">
        <v>2365</v>
      </c>
    </row>
    <row r="218" spans="10:11">
      <c r="J218" s="69" t="s">
        <v>2366</v>
      </c>
      <c r="K218" s="69" t="s">
        <v>2367</v>
      </c>
    </row>
    <row r="219" spans="10:11">
      <c r="J219" s="69" t="s">
        <v>2368</v>
      </c>
      <c r="K219" s="69" t="s">
        <v>2369</v>
      </c>
    </row>
    <row r="220" spans="10:11">
      <c r="J220" s="69" t="s">
        <v>2370</v>
      </c>
      <c r="K220" s="69" t="s">
        <v>2371</v>
      </c>
    </row>
    <row r="221" spans="10:11">
      <c r="J221" s="69" t="s">
        <v>2372</v>
      </c>
      <c r="K221" s="69" t="s">
        <v>2373</v>
      </c>
    </row>
    <row r="222" spans="10:11">
      <c r="J222" s="69" t="s">
        <v>2374</v>
      </c>
      <c r="K222" s="69" t="s">
        <v>2375</v>
      </c>
    </row>
    <row r="223" spans="10:11">
      <c r="J223" s="69" t="s">
        <v>2376</v>
      </c>
      <c r="K223" s="69" t="s">
        <v>2377</v>
      </c>
    </row>
    <row r="224" spans="10:11">
      <c r="J224" s="69" t="s">
        <v>2378</v>
      </c>
      <c r="K224" s="69" t="s">
        <v>2379</v>
      </c>
    </row>
    <row r="225" spans="10:11">
      <c r="J225" s="69" t="s">
        <v>2380</v>
      </c>
      <c r="K225" s="69" t="s">
        <v>2381</v>
      </c>
    </row>
    <row r="226" spans="10:11">
      <c r="J226" s="69" t="s">
        <v>2382</v>
      </c>
      <c r="K226" s="69" t="s">
        <v>2383</v>
      </c>
    </row>
    <row r="227" spans="10:11">
      <c r="J227" s="69" t="s">
        <v>2384</v>
      </c>
      <c r="K227" s="69" t="s">
        <v>2385</v>
      </c>
    </row>
    <row r="228" spans="10:11">
      <c r="J228" s="69" t="s">
        <v>2386</v>
      </c>
      <c r="K228" s="69" t="s">
        <v>2387</v>
      </c>
    </row>
    <row r="229" spans="10:11">
      <c r="J229" s="69" t="s">
        <v>2388</v>
      </c>
      <c r="K229" s="69" t="s">
        <v>2389</v>
      </c>
    </row>
    <row r="230" spans="10:11">
      <c r="J230" s="69" t="s">
        <v>2390</v>
      </c>
      <c r="K230" s="69" t="s">
        <v>2391</v>
      </c>
    </row>
    <row r="231" spans="10:11">
      <c r="J231" s="69" t="s">
        <v>2392</v>
      </c>
      <c r="K231" s="69" t="s">
        <v>2393</v>
      </c>
    </row>
    <row r="232" spans="10:11">
      <c r="J232" s="69" t="s">
        <v>2394</v>
      </c>
      <c r="K232" s="69" t="s">
        <v>2395</v>
      </c>
    </row>
    <row r="233" spans="10:11">
      <c r="J233" s="69" t="s">
        <v>2396</v>
      </c>
      <c r="K233" s="69" t="s">
        <v>2397</v>
      </c>
    </row>
    <row r="234" spans="10:11">
      <c r="J234" s="69" t="s">
        <v>2398</v>
      </c>
      <c r="K234" s="69" t="s">
        <v>2399</v>
      </c>
    </row>
    <row r="235" spans="10:11">
      <c r="J235" s="69" t="s">
        <v>2400</v>
      </c>
      <c r="K235" s="69" t="s">
        <v>2401</v>
      </c>
    </row>
    <row r="236" spans="10:11">
      <c r="J236" s="69" t="s">
        <v>2402</v>
      </c>
      <c r="K236" s="69" t="s">
        <v>2403</v>
      </c>
    </row>
    <row r="237" spans="10:11">
      <c r="J237" s="69" t="s">
        <v>2404</v>
      </c>
      <c r="K237" s="69" t="s">
        <v>2405</v>
      </c>
    </row>
    <row r="238" spans="10:11">
      <c r="J238" s="69" t="s">
        <v>2406</v>
      </c>
      <c r="K238" s="69" t="s">
        <v>2407</v>
      </c>
    </row>
    <row r="239" spans="10:11">
      <c r="J239" s="69" t="s">
        <v>2408</v>
      </c>
      <c r="K239" s="69" t="s">
        <v>2409</v>
      </c>
    </row>
    <row r="240" spans="10:11">
      <c r="J240" s="69" t="s">
        <v>2410</v>
      </c>
      <c r="K240" s="69" t="s">
        <v>2411</v>
      </c>
    </row>
    <row r="241" spans="10:11">
      <c r="J241" s="69" t="s">
        <v>2412</v>
      </c>
      <c r="K241" s="69" t="s">
        <v>1861</v>
      </c>
    </row>
    <row r="242" spans="10:11">
      <c r="J242" s="69" t="s">
        <v>2413</v>
      </c>
      <c r="K242" s="69" t="s">
        <v>2414</v>
      </c>
    </row>
    <row r="243" spans="10:11">
      <c r="J243" s="69" t="s">
        <v>2415</v>
      </c>
      <c r="K243" s="69" t="s">
        <v>2416</v>
      </c>
    </row>
    <row r="244" spans="10:11">
      <c r="J244" s="69" t="s">
        <v>2417</v>
      </c>
      <c r="K244" s="69" t="s">
        <v>2418</v>
      </c>
    </row>
    <row r="245" spans="10:11">
      <c r="J245" s="69" t="s">
        <v>2419</v>
      </c>
      <c r="K245" s="69" t="s">
        <v>2420</v>
      </c>
    </row>
    <row r="246" spans="10:11">
      <c r="J246" s="69" t="s">
        <v>2421</v>
      </c>
      <c r="K246" s="69" t="s">
        <v>2422</v>
      </c>
    </row>
    <row r="247" spans="10:11">
      <c r="J247" s="69" t="s">
        <v>2423</v>
      </c>
      <c r="K247" s="69" t="s">
        <v>2424</v>
      </c>
    </row>
    <row r="248" spans="10:11">
      <c r="J248" s="69" t="s">
        <v>2425</v>
      </c>
      <c r="K248" s="69" t="s">
        <v>2426</v>
      </c>
    </row>
  </sheetData>
  <mergeCells count="20">
    <mergeCell ref="X1:Y1"/>
    <mergeCell ref="B1:C1"/>
    <mergeCell ref="D1:E1"/>
    <mergeCell ref="F1:G1"/>
    <mergeCell ref="H1:I1"/>
    <mergeCell ref="J1:K1"/>
    <mergeCell ref="L1:M1"/>
    <mergeCell ref="N1:O1"/>
    <mergeCell ref="P1:Q1"/>
    <mergeCell ref="R1:S1"/>
    <mergeCell ref="T1:U1"/>
    <mergeCell ref="V1:W1"/>
    <mergeCell ref="AL1:AM1"/>
    <mergeCell ref="AN1:AO1"/>
    <mergeCell ref="Z1:AA1"/>
    <mergeCell ref="AB1:AC1"/>
    <mergeCell ref="AD1:AE1"/>
    <mergeCell ref="AF1:AG1"/>
    <mergeCell ref="AH1:AI1"/>
    <mergeCell ref="AJ1:AK1"/>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B0739-A36D-47F1-9977-027AF0B00497}">
  <sheetPr filterMode="1"/>
  <dimension ref="A1:D65"/>
  <sheetViews>
    <sheetView tabSelected="1" workbookViewId="0">
      <selection activeCell="C3" sqref="C3:C65"/>
    </sheetView>
  </sheetViews>
  <sheetFormatPr defaultRowHeight="13.8"/>
  <cols>
    <col min="1" max="1" width="39.77734375" style="170" bestFit="1" customWidth="1"/>
    <col min="2" max="2" width="27.21875" style="170" customWidth="1"/>
    <col min="3" max="3" width="56.21875" style="170" customWidth="1"/>
    <col min="4" max="4" width="13.88671875" style="170" customWidth="1"/>
    <col min="5" max="16384" width="8.88671875" style="170"/>
  </cols>
  <sheetData>
    <row r="1" spans="1:4">
      <c r="A1" s="171" t="s">
        <v>2435</v>
      </c>
      <c r="B1" s="171" t="s">
        <v>2492</v>
      </c>
      <c r="C1" s="171" t="s">
        <v>2500</v>
      </c>
      <c r="D1" s="170" t="s">
        <v>2497</v>
      </c>
    </row>
    <row r="2" spans="1:4" hidden="1">
      <c r="A2" s="170" t="s">
        <v>475</v>
      </c>
      <c r="B2" s="170" t="s">
        <v>2495</v>
      </c>
      <c r="C2" s="170" t="str">
        <f>_xlfn.XLOOKUP(A2,'Data Dictionary_All'!$E$1:$E$871,'Data Dictionary_All'!$E$1:$E$871,"n/a",0)</f>
        <v>RANDOM_ID</v>
      </c>
      <c r="D2" s="170">
        <v>1</v>
      </c>
    </row>
    <row r="3" spans="1:4">
      <c r="A3" s="170" t="s">
        <v>2494</v>
      </c>
      <c r="B3" s="170" t="s">
        <v>2493</v>
      </c>
      <c r="C3" s="170" t="str">
        <f>_xlfn.XLOOKUP(A3,'Data Dictionary_All'!$E$1:$E$873,'Data Dictionary_All'!$E$1:$E$873,"n/a",0)</f>
        <v>n/a</v>
      </c>
      <c r="D3" s="170">
        <v>0</v>
      </c>
    </row>
    <row r="4" spans="1:4">
      <c r="A4" s="170" t="s">
        <v>2435</v>
      </c>
      <c r="B4" s="170" t="s">
        <v>2436</v>
      </c>
      <c r="C4" s="170" t="str">
        <f>_xlfn.XLOOKUP(A4,'Data Dictionary_All'!$E$1:$E$873,'Data Dictionary_All'!$E$1:$E$873,"n/a",1)</f>
        <v>NUM_CHARGE_OFF_36M</v>
      </c>
      <c r="D4" s="170">
        <v>0</v>
      </c>
    </row>
    <row r="5" spans="1:4">
      <c r="A5" s="170" t="s">
        <v>2437</v>
      </c>
      <c r="B5" s="170" t="s">
        <v>2438</v>
      </c>
      <c r="C5" s="170" t="str">
        <f>_xlfn.XLOOKUP(A5,'Data Dictionary_All'!$E$1:$E$873,'Data Dictionary_All'!$E$1:$E$873,"n/a",1)</f>
        <v>BEHAVIOUR_SCORE</v>
      </c>
      <c r="D5" s="170">
        <v>0</v>
      </c>
    </row>
    <row r="6" spans="1:4">
      <c r="A6" s="170" t="s">
        <v>2439</v>
      </c>
      <c r="B6" s="170" t="s">
        <v>2440</v>
      </c>
      <c r="C6" s="170" t="str">
        <f>_xlfn.XLOOKUP(A6,'Data Dictionary_All'!$E$1:$E$873,'Data Dictionary_All'!$E$1:$E$873,"n/a",1)</f>
        <v>PLEDGED_AMOUNT</v>
      </c>
      <c r="D6" s="170">
        <v>0</v>
      </c>
    </row>
    <row r="7" spans="1:4">
      <c r="A7" s="170" t="s">
        <v>2441</v>
      </c>
      <c r="B7" s="170" t="s">
        <v>2442</v>
      </c>
      <c r="C7" s="170" t="str">
        <f>_xlfn.XLOOKUP(A7,'Data Dictionary_All'!$E$1:$E$873,'Data Dictionary_All'!$E$1:$E$873,"n/a",1)</f>
        <v>EMAIL_INCONSISTENCY_FLG</v>
      </c>
      <c r="D7" s="170">
        <v>0</v>
      </c>
    </row>
    <row r="8" spans="1:4" hidden="1">
      <c r="A8" s="170" t="s">
        <v>2496</v>
      </c>
      <c r="B8" s="170" t="s">
        <v>2443</v>
      </c>
      <c r="C8" s="170" t="str">
        <f>_xlfn.XLOOKUP(A8,'Data Dictionary_All'!$E$1:$E$873,'Data Dictionary_All'!$E$1:$E$873,"n/a",1)</f>
        <v>PERMANENT_RESIDENT_FLG</v>
      </c>
      <c r="D8" s="170">
        <v>1</v>
      </c>
    </row>
    <row r="9" spans="1:4" hidden="1">
      <c r="A9" s="170" t="s">
        <v>164</v>
      </c>
      <c r="B9" s="170" t="s">
        <v>2444</v>
      </c>
      <c r="C9" s="170" t="str">
        <f>_xlfn.XLOOKUP(A9,'Data Dictionary_All'!$E$1:$E$873,'Data Dictionary_All'!$E$1:$E$873,"n/a",1)</f>
        <v>CUSTOMER_AGE</v>
      </c>
      <c r="D9" s="170">
        <v>1</v>
      </c>
    </row>
    <row r="10" spans="1:4" hidden="1">
      <c r="A10" s="170" t="s">
        <v>1492</v>
      </c>
      <c r="B10" s="170" t="s">
        <v>2445</v>
      </c>
      <c r="C10" s="170" t="str">
        <f>_xlfn.XLOOKUP(A10,'Data Dictionary_All'!$E$1:$E$873,'Data Dictionary_All'!$E$1:$E$873,"n/a",1)</f>
        <v>CUSTOMER_STATUS</v>
      </c>
      <c r="D10" s="170">
        <v>1</v>
      </c>
    </row>
    <row r="11" spans="1:4" hidden="1">
      <c r="A11" s="170" t="s">
        <v>252</v>
      </c>
      <c r="B11" s="170" t="s">
        <v>2446</v>
      </c>
      <c r="C11" s="170" t="str">
        <f>_xlfn.XLOOKUP(A11,'Data Dictionary_All'!$E$1:$E$873,'Data Dictionary_All'!$E$1:$E$873,"n/a",1)</f>
        <v>BUREAU_SCORE</v>
      </c>
      <c r="D11" s="170">
        <v>1</v>
      </c>
    </row>
    <row r="12" spans="1:4" hidden="1">
      <c r="A12" s="170" t="s">
        <v>267</v>
      </c>
      <c r="B12" s="170" t="s">
        <v>2447</v>
      </c>
      <c r="C12" s="170" t="str">
        <f>_xlfn.XLOOKUP(A12,'Data Dictionary_All'!$E$1:$E$873,'Data Dictionary_All'!$E$1:$E$873,"n/a",1)</f>
        <v>TOTAL_NON_CARD_BALANCE</v>
      </c>
      <c r="D12" s="170">
        <v>1</v>
      </c>
    </row>
    <row r="13" spans="1:4" hidden="1">
      <c r="A13" s="170" t="s">
        <v>673</v>
      </c>
      <c r="B13" s="170" t="s">
        <v>2448</v>
      </c>
      <c r="C13" s="170" t="str">
        <f>_xlfn.XLOOKUP(A13,'Data Dictionary_All'!$E$1:$E$873,'Data Dictionary_All'!$E$1:$E$873,"n/a",1)</f>
        <v>BUREAU_INVESTIGATION_DATE_SINCE</v>
      </c>
      <c r="D13" s="170">
        <v>1</v>
      </c>
    </row>
    <row r="14" spans="1:4" hidden="1">
      <c r="A14" s="170" t="s">
        <v>257</v>
      </c>
      <c r="B14" s="170" t="s">
        <v>2449</v>
      </c>
      <c r="C14" s="170" t="str">
        <f>_xlfn.XLOOKUP(A14,'Data Dictionary_All'!$E$1:$E$873,'Data Dictionary_All'!$E$1:$E$873,"n/a",1)</f>
        <v>BUREAU_CARD_UTILIZATION</v>
      </c>
      <c r="D14" s="170">
        <v>1</v>
      </c>
    </row>
    <row r="15" spans="1:4" hidden="1">
      <c r="A15" s="170" t="s">
        <v>1654</v>
      </c>
      <c r="B15" s="170" t="s">
        <v>2450</v>
      </c>
      <c r="C15" s="170" t="str">
        <f>_xlfn.XLOOKUP(A15,'Data Dictionary_All'!$E$1:$E$873,'Data Dictionary_All'!$E$1:$E$873,"n/a",1)</f>
        <v>DOCUMENTATION_COMPLETED_FLG</v>
      </c>
      <c r="D15" s="170">
        <v>1</v>
      </c>
    </row>
    <row r="16" spans="1:4" hidden="1">
      <c r="A16" s="170" t="s">
        <v>196</v>
      </c>
      <c r="B16" s="170" t="s">
        <v>2451</v>
      </c>
      <c r="C16" s="170" t="str">
        <f>_xlfn.XLOOKUP(A16,'Data Dictionary_All'!$E$1:$E$873,'Data Dictionary_All'!$E$1:$E$873,"n/a",1)</f>
        <v>CUSTOMER_EMPLOYMENT_TYPE</v>
      </c>
      <c r="D16" s="170">
        <v>1</v>
      </c>
    </row>
    <row r="17" spans="1:4" hidden="1">
      <c r="A17" s="170" t="s">
        <v>1663</v>
      </c>
      <c r="B17" s="170" t="s">
        <v>2452</v>
      </c>
      <c r="C17" s="170" t="str">
        <f>_xlfn.XLOOKUP(A17,'Data Dictionary_All'!$E$1:$E$873,'Data Dictionary_All'!$E$1:$E$873,"n/a",1)</f>
        <v>DOCUMENTATION_TYPE</v>
      </c>
      <c r="D17" s="170">
        <v>1</v>
      </c>
    </row>
    <row r="18" spans="1:4" hidden="1">
      <c r="A18" s="170" t="s">
        <v>1528</v>
      </c>
      <c r="B18" s="170" t="s">
        <v>2453</v>
      </c>
      <c r="C18" s="170" t="str">
        <f>_xlfn.XLOOKUP(A18,'Data Dictionary_All'!$E$1:$E$873,'Data Dictionary_All'!$E$1:$E$873,"n/a",1)</f>
        <v>DPD30_AUTO_LOANS_CNT</v>
      </c>
      <c r="D18" s="170">
        <v>1</v>
      </c>
    </row>
    <row r="19" spans="1:4" hidden="1">
      <c r="A19" s="170" t="s">
        <v>1669</v>
      </c>
      <c r="B19" s="170" t="s">
        <v>2453</v>
      </c>
      <c r="C19" s="170" t="str">
        <f>_xlfn.XLOOKUP(A19,'Data Dictionary_All'!$E$1:$E$873,'Data Dictionary_All'!$E$1:$E$873,"n/a",1)</f>
        <v>DPD30_CASH_COLLATERAL_CNT</v>
      </c>
      <c r="D19" s="170">
        <v>1</v>
      </c>
    </row>
    <row r="20" spans="1:4" hidden="1">
      <c r="A20" s="170" t="s">
        <v>1565</v>
      </c>
      <c r="B20" s="170" t="s">
        <v>2453</v>
      </c>
      <c r="C20" s="170" t="str">
        <f>_xlfn.XLOOKUP(A20,'Data Dictionary_All'!$E$1:$E$873,'Data Dictionary_All'!$E$1:$E$873,"n/a",1)</f>
        <v>DPD30_CC_LOANS_CNT</v>
      </c>
      <c r="D20" s="170">
        <v>1</v>
      </c>
    </row>
    <row r="21" spans="1:4" hidden="1">
      <c r="A21" s="170" t="s">
        <v>1525</v>
      </c>
      <c r="B21" s="170" t="s">
        <v>2453</v>
      </c>
      <c r="C21" s="170" t="str">
        <f>_xlfn.XLOOKUP(A21,'Data Dictionary_All'!$E$1:$E$873,'Data Dictionary_All'!$E$1:$E$873,"n/a",1)</f>
        <v>DPD30_MORTGAGE_LOANS_CNT</v>
      </c>
      <c r="D21" s="170">
        <v>1</v>
      </c>
    </row>
    <row r="22" spans="1:4" hidden="1">
      <c r="A22" s="170" t="s">
        <v>1572</v>
      </c>
      <c r="B22" s="170" t="s">
        <v>2453</v>
      </c>
      <c r="C22" s="170" t="str">
        <f>_xlfn.XLOOKUP(A22,'Data Dictionary_All'!$E$1:$E$873,'Data Dictionary_All'!$E$1:$E$873,"n/a",1)</f>
        <v>DPD30_OVERDRAFT_LOANS_CNT</v>
      </c>
      <c r="D22" s="170">
        <v>1</v>
      </c>
    </row>
    <row r="23" spans="1:4" hidden="1">
      <c r="A23" s="170" t="s">
        <v>1503</v>
      </c>
      <c r="B23" s="170" t="s">
        <v>2453</v>
      </c>
      <c r="C23" s="170" t="str">
        <f>_xlfn.XLOOKUP(A23,'Data Dictionary_All'!$E$1:$E$873,'Data Dictionary_All'!$E$1:$E$873,"n/a",1)</f>
        <v>DPD30_PERSONAL_LOANS_CNT</v>
      </c>
      <c r="D23" s="170">
        <v>1</v>
      </c>
    </row>
    <row r="24" spans="1:4" hidden="1">
      <c r="A24" s="170" t="s">
        <v>693</v>
      </c>
      <c r="B24" s="170" t="s">
        <v>2454</v>
      </c>
      <c r="C24" s="170" t="str">
        <f>_xlfn.XLOOKUP(A24,'Data Dictionary_All'!$E$1:$E$873,'Data Dictionary_All'!$E$1:$E$873,"n/a",1)</f>
        <v>LAST_MONTH_30</v>
      </c>
      <c r="D24" s="170">
        <v>1</v>
      </c>
    </row>
    <row r="25" spans="1:4" hidden="1">
      <c r="A25" s="170" t="s">
        <v>702</v>
      </c>
      <c r="B25" s="170" t="s">
        <v>2455</v>
      </c>
      <c r="C25" s="170" t="str">
        <f>_xlfn.XLOOKUP(A25,'Data Dictionary_All'!$E$1:$E$873,'Data Dictionary_All'!$E$1:$E$873,"n/a",1)</f>
        <v>NUM_CHARGE_OFF_36M</v>
      </c>
      <c r="D25" s="170">
        <v>1</v>
      </c>
    </row>
    <row r="26" spans="1:4" hidden="1">
      <c r="A26" s="170" t="s">
        <v>1670</v>
      </c>
      <c r="B26" s="170" t="s">
        <v>2456</v>
      </c>
      <c r="C26" s="170" t="str">
        <f>_xlfn.XLOOKUP(A26,'Data Dictionary_All'!$E$1:$E$873,'Data Dictionary_All'!$E$1:$E$873,"n/a",1)</f>
        <v>HOME_INCONSISTENCY_FLG</v>
      </c>
      <c r="D26" s="170">
        <v>1</v>
      </c>
    </row>
    <row r="27" spans="1:4" hidden="1">
      <c r="A27" s="170" t="s">
        <v>1668</v>
      </c>
      <c r="B27" s="170" t="s">
        <v>2457</v>
      </c>
      <c r="C27" s="170" t="str">
        <f>_xlfn.XLOOKUP(A27,'Data Dictionary_All'!$E$1:$E$873,'Data Dictionary_All'!$E$1:$E$873,"n/a",1)</f>
        <v>INTEREST_INCOME</v>
      </c>
      <c r="D27" s="170">
        <v>1</v>
      </c>
    </row>
    <row r="28" spans="1:4" hidden="1">
      <c r="A28" s="170" t="s">
        <v>1673</v>
      </c>
      <c r="B28" s="170" t="s">
        <v>2458</v>
      </c>
      <c r="C28" s="170" t="str">
        <f>_xlfn.XLOOKUP(A28,'Data Dictionary_All'!$E$1:$E$873,'Data Dictionary_All'!$E$1:$E$873,"n/a",1)</f>
        <v>MAIDEN_NAME_INCONSISTENCY_FLG</v>
      </c>
      <c r="D28" s="170">
        <v>1</v>
      </c>
    </row>
    <row r="29" spans="1:4" hidden="1">
      <c r="A29" s="170" t="s">
        <v>529</v>
      </c>
      <c r="B29" s="170" t="s">
        <v>2459</v>
      </c>
      <c r="C29" s="170" t="str">
        <f>_xlfn.XLOOKUP(A29,'Data Dictionary_All'!$E$1:$E$873,'Data Dictionary_All'!$E$1:$E$873,"n/a",1)</f>
        <v>OTHER_INCOME</v>
      </c>
      <c r="D29" s="170">
        <v>1</v>
      </c>
    </row>
    <row r="30" spans="1:4" hidden="1">
      <c r="A30" s="170" t="s">
        <v>586</v>
      </c>
      <c r="B30" s="170" t="s">
        <v>2460</v>
      </c>
      <c r="C30" s="170" t="str">
        <f>_xlfn.XLOOKUP(A30,'Data Dictionary_All'!$E$1:$E$873,'Data Dictionary_All'!$E$1:$E$873,"n/a",1)</f>
        <v>RENT_INCOME</v>
      </c>
      <c r="D30" s="170">
        <v>1</v>
      </c>
    </row>
    <row r="31" spans="1:4" hidden="1">
      <c r="A31" s="170" t="s">
        <v>631</v>
      </c>
      <c r="B31" s="170" t="s">
        <v>2461</v>
      </c>
      <c r="C31" s="170" t="str">
        <f>_xlfn.XLOOKUP(A31,'Data Dictionary_All'!$E$1:$E$873,'Data Dictionary_All'!$E$1:$E$873,"n/a",1)</f>
        <v>REQUESTED_LOAN_TENOR</v>
      </c>
      <c r="D31" s="170">
        <v>1</v>
      </c>
    </row>
    <row r="32" spans="1:4" hidden="1">
      <c r="A32" s="170" t="s">
        <v>266</v>
      </c>
      <c r="B32" s="170" t="s">
        <v>2462</v>
      </c>
      <c r="C32" s="170" t="str">
        <f>_xlfn.XLOOKUP(A32,'Data Dictionary_All'!$E$1:$E$873,'Data Dictionary_All'!$E$1:$E$873,"n/a",1)</f>
        <v>REQUESTED_LOAN_AMOUNT</v>
      </c>
      <c r="D32" s="170">
        <v>1</v>
      </c>
    </row>
    <row r="33" spans="1:4" hidden="1">
      <c r="A33" s="170" t="s">
        <v>1648</v>
      </c>
      <c r="B33" s="170" t="s">
        <v>2463</v>
      </c>
      <c r="C33" s="170" t="str">
        <f>_xlfn.XLOOKUP(A33,'Data Dictionary_All'!$E$1:$E$873,'Data Dictionary_All'!$E$1:$E$873,"n/a",1)</f>
        <v>REQUESTED_PAYMENT_PLAN</v>
      </c>
      <c r="D33" s="170">
        <v>1</v>
      </c>
    </row>
    <row r="34" spans="1:4" hidden="1">
      <c r="A34" s="170" t="s">
        <v>615</v>
      </c>
      <c r="B34" s="170" t="s">
        <v>2464</v>
      </c>
      <c r="C34" s="170" t="str">
        <f>_xlfn.XLOOKUP(A34,'Data Dictionary_All'!$E$1:$E$873,'Data Dictionary_All'!$E$1:$E$873,"n/a",1)</f>
        <v>SALARY_TIE_UP_AMOUNT</v>
      </c>
      <c r="D34" s="170">
        <v>1</v>
      </c>
    </row>
    <row r="35" spans="1:4" hidden="1">
      <c r="A35" s="170" t="s">
        <v>1266</v>
      </c>
      <c r="B35" s="170" t="s">
        <v>2465</v>
      </c>
      <c r="C35" s="170" t="str">
        <f>_xlfn.XLOOKUP(A35,'Data Dictionary_All'!$E$1:$E$873,'Data Dictionary_All'!$E$1:$E$873,"n/a",1)</f>
        <v>TOTAL_CC_AMOUNT</v>
      </c>
      <c r="D35" s="170">
        <v>1</v>
      </c>
    </row>
    <row r="36" spans="1:4" hidden="1">
      <c r="A36" s="170" t="s">
        <v>793</v>
      </c>
      <c r="B36" s="170" t="s">
        <v>2466</v>
      </c>
      <c r="C36" s="170" t="str">
        <f>_xlfn.XLOOKUP(A36,'Data Dictionary_All'!$E$1:$E$873,'Data Dictionary_All'!$E$1:$E$873,"n/a",1)</f>
        <v>TOTAL_LOAN_INSTALLMENT</v>
      </c>
      <c r="D36" s="170">
        <v>1</v>
      </c>
    </row>
    <row r="37" spans="1:4" hidden="1">
      <c r="A37" s="170" t="s">
        <v>679</v>
      </c>
      <c r="B37" s="170" t="s">
        <v>2467</v>
      </c>
      <c r="C37" s="170" t="str">
        <f>_xlfn.XLOOKUP(A37,'Data Dictionary_All'!$E$1:$E$873,'Data Dictionary_All'!$E$1:$E$873,"n/a",1)</f>
        <v>TOTAL_OPEN_CARD_BALANCE</v>
      </c>
      <c r="D37" s="170">
        <v>1</v>
      </c>
    </row>
    <row r="38" spans="1:4" hidden="1">
      <c r="A38" s="170" t="s">
        <v>1540</v>
      </c>
      <c r="B38" s="170" t="s">
        <v>2467</v>
      </c>
      <c r="C38" s="170" t="str">
        <f>_xlfn.XLOOKUP(A38,'Data Dictionary_All'!$E$1:$E$873,'Data Dictionary_All'!$E$1:$E$873,"n/a",1)</f>
        <v>TOTAL_OPEN_CC_BALANCE</v>
      </c>
      <c r="D38" s="170">
        <v>1</v>
      </c>
    </row>
    <row r="39" spans="1:4" hidden="1">
      <c r="A39" s="170" t="s">
        <v>1499</v>
      </c>
      <c r="B39" s="170" t="s">
        <v>2466</v>
      </c>
      <c r="C39" s="170" t="str">
        <f>_xlfn.XLOOKUP(A39,'Data Dictionary_All'!$E$1:$E$873,'Data Dictionary_All'!$E$1:$E$873,"n/a",1)</f>
        <v>TOTAL_OPEN_LOAN_INSTALLMENT</v>
      </c>
      <c r="D39" s="170">
        <v>1</v>
      </c>
    </row>
    <row r="40" spans="1:4" hidden="1">
      <c r="A40" s="170" t="s">
        <v>1350</v>
      </c>
      <c r="B40" s="170" t="s">
        <v>2468</v>
      </c>
      <c r="C40" s="170" t="str">
        <f>_xlfn.XLOOKUP(A40,'Data Dictionary_All'!$E$1:$E$873,'Data Dictionary_All'!$E$1:$E$873,"n/a",1)</f>
        <v>TOTAL_OVERDRAFTS_AMOUNT</v>
      </c>
      <c r="D40" s="170">
        <v>1</v>
      </c>
    </row>
    <row r="41" spans="1:4" hidden="1">
      <c r="A41" s="170" t="s">
        <v>1047</v>
      </c>
      <c r="B41" s="170" t="s">
        <v>2469</v>
      </c>
      <c r="C41" s="170" t="str">
        <f>_xlfn.XLOOKUP(A41,'Data Dictionary_All'!$E$1:$E$873,'Data Dictionary_All'!$E$1:$E$873,"n/a",1)</f>
        <v>TOTAL_PERS_LOANS_BAL_UNSECURE</v>
      </c>
      <c r="D41" s="170">
        <v>1</v>
      </c>
    </row>
    <row r="42" spans="1:4" hidden="1">
      <c r="A42" s="170" t="s">
        <v>769</v>
      </c>
      <c r="B42" s="170" t="s">
        <v>2470</v>
      </c>
      <c r="C42" s="170" t="str">
        <f>_xlfn.XLOOKUP(A42,'Data Dictionary_All'!$E$1:$E$873,'Data Dictionary_All'!$E$1:$E$873,"n/a",1)</f>
        <v>IB_WPS_CARD_LAST_12M</v>
      </c>
      <c r="D42" s="170">
        <v>1</v>
      </c>
    </row>
    <row r="43" spans="1:4" hidden="1">
      <c r="A43" s="170" t="s">
        <v>851</v>
      </c>
      <c r="B43" s="170" t="s">
        <v>2471</v>
      </c>
      <c r="C43" s="170" t="str">
        <f>_xlfn.XLOOKUP(A43,'Data Dictionary_All'!$E$1:$E$873,'Data Dictionary_All'!$E$1:$E$873,"n/a",1)</f>
        <v>IB_WPS_MORTGAGE_LAST_12M</v>
      </c>
      <c r="D43" s="170">
        <v>1</v>
      </c>
    </row>
    <row r="44" spans="1:4" hidden="1">
      <c r="A44" s="170" t="s">
        <v>908</v>
      </c>
      <c r="B44" s="170" t="s">
        <v>2470</v>
      </c>
      <c r="C44" s="170" t="str">
        <f>_xlfn.XLOOKUP(A44,'Data Dictionary_All'!$E$1:$E$873,'Data Dictionary_All'!$E$1:$E$873,"n/a",1)</f>
        <v>IB_WPS_OD_LAST_12M</v>
      </c>
      <c r="D44" s="170">
        <v>1</v>
      </c>
    </row>
    <row r="45" spans="1:4" hidden="1">
      <c r="A45" s="170" t="s">
        <v>962</v>
      </c>
      <c r="B45" s="170" t="s">
        <v>2470</v>
      </c>
      <c r="C45" s="170" t="str">
        <f>_xlfn.XLOOKUP(A45,'Data Dictionary_All'!$E$1:$E$873,'Data Dictionary_All'!$E$1:$E$873,"n/a",1)</f>
        <v>IB_WPS_AUTO_LOAN_LAST_12M</v>
      </c>
      <c r="D45" s="170">
        <v>1</v>
      </c>
    </row>
    <row r="46" spans="1:4" hidden="1">
      <c r="A46" s="170" t="s">
        <v>830</v>
      </c>
      <c r="B46" s="170" t="s">
        <v>2470</v>
      </c>
      <c r="C46" s="170" t="str">
        <f>_xlfn.XLOOKUP(A46,'Data Dictionary_All'!$E$1:$E$873,'Data Dictionary_All'!$E$1:$E$873,"n/a",1)</f>
        <v>IB_WPS_LOAN_LAST_12M</v>
      </c>
      <c r="D46" s="170">
        <v>1</v>
      </c>
    </row>
    <row r="47" spans="1:4" hidden="1">
      <c r="A47" s="170" t="s">
        <v>669</v>
      </c>
      <c r="B47" s="170" t="s">
        <v>2472</v>
      </c>
      <c r="C47" s="170" t="str">
        <f>_xlfn.XLOOKUP(A47,'Data Dictionary_All'!$E$1:$E$873,'Data Dictionary_All'!$E$1:$E$873,"n/a",1)</f>
        <v>MAX_DUR_SINCE_CC_OPEN</v>
      </c>
      <c r="D47" s="170">
        <v>1</v>
      </c>
    </row>
    <row r="48" spans="1:4" hidden="1">
      <c r="A48" s="170" t="s">
        <v>975</v>
      </c>
      <c r="B48" s="170" t="s">
        <v>2473</v>
      </c>
      <c r="C48" s="170" t="str">
        <f>_xlfn.XLOOKUP(A48,'Data Dictionary_All'!$E$1:$E$873,'Data Dictionary_All'!$E$1:$E$873,"n/a",1)</f>
        <v>EXISTING_CUSTOMER</v>
      </c>
      <c r="D48" s="170">
        <v>1</v>
      </c>
    </row>
    <row r="49" spans="1:4" hidden="1">
      <c r="A49" s="170" t="s">
        <v>2474</v>
      </c>
      <c r="B49" s="170" t="s">
        <v>2475</v>
      </c>
      <c r="C49" s="170" t="str">
        <f>_xlfn.XLOOKUP(A49,'Data Dictionary_All'!$E$1:$E$873,'Data Dictionary_All'!$E$1:$E$873,"n/a",1)</f>
        <v>Fraud_Flg (Credit_Bureau_Detail Table)</v>
      </c>
      <c r="D49" s="170">
        <v>1</v>
      </c>
    </row>
    <row r="50" spans="1:4" hidden="1">
      <c r="A50" s="170" t="s">
        <v>1671</v>
      </c>
      <c r="B50" s="170" t="s">
        <v>2475</v>
      </c>
      <c r="C50" s="170" t="str">
        <f>_xlfn.XLOOKUP(A50,'Data Dictionary_All'!$E$1:$E$873,'Data Dictionary_All'!$E$1:$E$873,"n/a",1)</f>
        <v>BUSINESS_INCONSISTENCY_FLG</v>
      </c>
      <c r="D50" s="170">
        <v>1</v>
      </c>
    </row>
    <row r="51" spans="1:4" hidden="1">
      <c r="A51" s="170" t="s">
        <v>522</v>
      </c>
      <c r="B51" s="170" t="s">
        <v>2476</v>
      </c>
      <c r="C51" s="170" t="str">
        <f>_xlfn.XLOOKUP(A51,'Data Dictionary_All'!$E$1:$E$873,'Data Dictionary_All'!$E$1:$E$873,"n/a",1)</f>
        <v>VERIFICATION_COMPLETED_FLG</v>
      </c>
      <c r="D51" s="170">
        <v>1</v>
      </c>
    </row>
    <row r="52" spans="1:4" hidden="1">
      <c r="A52" s="170" t="s">
        <v>519</v>
      </c>
      <c r="B52" s="170" t="s">
        <v>2476</v>
      </c>
      <c r="C52" s="170" t="str">
        <f>_xlfn.XLOOKUP(A52,'Data Dictionary_All'!$E$1:$E$873,'Data Dictionary_All'!$E$1:$E$873,"n/a",1)</f>
        <v>VERIFIED_DOCUMENT_INCOME_FLG</v>
      </c>
      <c r="D52" s="170">
        <v>1</v>
      </c>
    </row>
    <row r="53" spans="1:4" hidden="1">
      <c r="A53" s="170" t="s">
        <v>254</v>
      </c>
      <c r="B53" s="170" t="s">
        <v>2477</v>
      </c>
      <c r="C53" s="170" t="str">
        <f>_xlfn.XLOOKUP(A53,'Data Dictionary_All'!$E$1:$E$873,'Data Dictionary_All'!$E$1:$E$873,"n/a",1)</f>
        <v>PRODUCT_CODE</v>
      </c>
      <c r="D53" s="170">
        <v>1</v>
      </c>
    </row>
    <row r="54" spans="1:4" hidden="1">
      <c r="A54" s="170" t="s">
        <v>1291</v>
      </c>
      <c r="B54" s="170" t="s">
        <v>2478</v>
      </c>
      <c r="C54" s="170" t="str">
        <f>_xlfn.XLOOKUP(A54,'Data Dictionary_All'!$E$1:$E$873,'Data Dictionary_All'!$E$1:$E$873,"n/a",1)</f>
        <v>EMAIL_PROVIDED_FLG</v>
      </c>
      <c r="D54" s="170">
        <v>1</v>
      </c>
    </row>
    <row r="55" spans="1:4" hidden="1">
      <c r="A55" s="170" t="s">
        <v>1672</v>
      </c>
      <c r="B55" s="170" t="s">
        <v>2479</v>
      </c>
      <c r="C55" s="170" t="str">
        <f>_xlfn.XLOOKUP(A55,'Data Dictionary_All'!$E$1:$E$873,'Data Dictionary_All'!$E$1:$E$873,"n/a",1)</f>
        <v>EMAIL_INCONSISTENCY_FLG</v>
      </c>
      <c r="D55" s="170">
        <v>1</v>
      </c>
    </row>
    <row r="56" spans="1:4" hidden="1">
      <c r="A56" s="170" t="s">
        <v>1486</v>
      </c>
      <c r="B56" s="170" t="s">
        <v>2480</v>
      </c>
      <c r="C56" s="170" t="str">
        <f>_xlfn.XLOOKUP(A56,'Data Dictionary_All'!$E$1:$E$873,'Data Dictionary_All'!$E$1:$E$873,"n/a",0)</f>
        <v>IS_EMPLOYEE_FLG</v>
      </c>
      <c r="D56" s="170">
        <v>1</v>
      </c>
    </row>
    <row r="57" spans="1:4" hidden="1">
      <c r="A57" s="170" t="s">
        <v>1053</v>
      </c>
      <c r="B57" s="170" t="s">
        <v>2481</v>
      </c>
      <c r="C57" s="170" t="str">
        <f>_xlfn.XLOOKUP(A57,'Data Dictionary_All'!$E$1:$E$873,'Data Dictionary_All'!$E$1:$E$873,"n/a",1)</f>
        <v>DECLARED_INCOME</v>
      </c>
      <c r="D57" s="170">
        <v>1</v>
      </c>
    </row>
    <row r="58" spans="1:4" hidden="1">
      <c r="A58" s="170" t="s">
        <v>253</v>
      </c>
      <c r="B58" s="170" t="s">
        <v>2482</v>
      </c>
      <c r="C58" s="170" t="str">
        <f>_xlfn.XLOOKUP(A58,'Data Dictionary_All'!$E$1:$E$873,'Data Dictionary_All'!$E$1:$E$873,"n/a",1)</f>
        <v>DOCUMENTED_INCOME</v>
      </c>
      <c r="D58" s="170">
        <v>1</v>
      </c>
    </row>
    <row r="59" spans="1:4" hidden="1">
      <c r="A59" s="170" t="s">
        <v>182</v>
      </c>
      <c r="B59" s="170" t="s">
        <v>2483</v>
      </c>
      <c r="C59" s="170" t="str">
        <f>_xlfn.XLOOKUP(A59,'Data Dictionary_All'!$E$1:$E$873,'Data Dictionary_All'!$E$1:$E$873,"n/a",1)</f>
        <v>TOTAL_EMPLOYMENT_DURATION</v>
      </c>
      <c r="D59" s="170">
        <v>1</v>
      </c>
    </row>
    <row r="60" spans="1:4" hidden="1">
      <c r="A60" s="170" t="s">
        <v>1423</v>
      </c>
      <c r="B60" s="170" t="s">
        <v>2484</v>
      </c>
      <c r="C60" s="170" t="str">
        <f>_xlfn.XLOOKUP(A60,'Data Dictionary_All'!$E$1:$E$873,'Data Dictionary_All'!$E$1:$E$873,"n/a",1)</f>
        <v>PLEDGED_AMOUNT</v>
      </c>
      <c r="D60" s="170">
        <v>1</v>
      </c>
    </row>
    <row r="61" spans="1:4" hidden="1">
      <c r="A61" s="170" t="s">
        <v>1662</v>
      </c>
      <c r="B61" s="170" t="s">
        <v>2485</v>
      </c>
      <c r="C61" s="170" t="str">
        <f>_xlfn.XLOOKUP(A61,'Data Dictionary_All'!$E$1:$E$873,'Data Dictionary_All'!$E$1:$E$873,"n/a",1)</f>
        <v>VERIFIED_INCOME</v>
      </c>
      <c r="D61" s="170">
        <v>1</v>
      </c>
    </row>
    <row r="62" spans="1:4" hidden="1">
      <c r="A62" s="170" t="s">
        <v>751</v>
      </c>
      <c r="B62" s="170" t="s">
        <v>2486</v>
      </c>
      <c r="C62" s="170" t="str">
        <f>_xlfn.XLOOKUP(A62,'Data Dictionary_All'!$E$1:$E$873,'Data Dictionary_All'!$E$1:$E$873,"n/a",1)</f>
        <v>WPS_LIFETIME</v>
      </c>
      <c r="D62" s="170">
        <v>1</v>
      </c>
    </row>
    <row r="63" spans="1:4">
      <c r="A63" s="170" t="s">
        <v>2487</v>
      </c>
      <c r="B63" s="170" t="s">
        <v>2488</v>
      </c>
      <c r="C63" s="170" t="str">
        <f>_xlfn.XLOOKUP(A63,'Data Dictionary_All'!$E$1:$E$873,'Data Dictionary_All'!$E$1:$E$873,"n/a",1)</f>
        <v>CUSTOMER_STATUS</v>
      </c>
      <c r="D63" s="170">
        <v>0</v>
      </c>
    </row>
    <row r="64" spans="1:4" hidden="1">
      <c r="A64" s="170" t="s">
        <v>462</v>
      </c>
      <c r="B64" s="170" t="s">
        <v>2489</v>
      </c>
      <c r="C64" s="170" t="str">
        <f>_xlfn.XLOOKUP(A64,'Data Dictionary_All'!$E$1:$E$873,'Data Dictionary_All'!$E$1:$E$873,"n/a",1)</f>
        <v>CALL_ID</v>
      </c>
      <c r="D64" s="170">
        <v>1</v>
      </c>
    </row>
    <row r="65" spans="1:4">
      <c r="A65" s="170" t="s">
        <v>2490</v>
      </c>
      <c r="B65" s="170" t="s">
        <v>2491</v>
      </c>
      <c r="C65" s="170" t="str">
        <f>_xlfn.XLOOKUP(A65,'Data Dictionary_All'!$E$1:$E$873,'Data Dictionary_All'!$E$1:$E$873,"n/a",1)</f>
        <v>BEHAVIOUR_SCORE</v>
      </c>
      <c r="D65" s="170">
        <v>0</v>
      </c>
    </row>
  </sheetData>
  <autoFilter ref="A1:D65" xr:uid="{316B0739-A36D-47F1-9977-027AF0B00497}">
    <filterColumn colId="3">
      <filters>
        <filter val="0"/>
      </filters>
    </filterColumn>
  </autoFilter>
  <conditionalFormatting sqref="C2:C65">
    <cfRule type="expression" dxfId="0" priority="1">
      <formula>$D2=0</formula>
    </cfRule>
  </conditionalFormatting>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4B8AB60C9344F4A9C71626C5D838B2F" ma:contentTypeVersion="4" ma:contentTypeDescription="Create a new document." ma:contentTypeScope="" ma:versionID="63d0223c8cfe8c4c963b467098139320">
  <xsd:schema xmlns:xsd="http://www.w3.org/2001/XMLSchema" xmlns:xs="http://www.w3.org/2001/XMLSchema" xmlns:p="http://schemas.microsoft.com/office/2006/metadata/properties" xmlns:ns2="14bdced2-73d2-4e64-b434-4e65abdfd84e" xmlns:ns3="8a5d550a-9072-42dd-8aaf-b8f4832ef24b" targetNamespace="http://schemas.microsoft.com/office/2006/metadata/properties" ma:root="true" ma:fieldsID="3150b4203fd219ca7d63d30bf856f454" ns2:_="" ns3:_="">
    <xsd:import namespace="14bdced2-73d2-4e64-b434-4e65abdfd84e"/>
    <xsd:import namespace="8a5d550a-9072-42dd-8aaf-b8f4832ef24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4bdced2-73d2-4e64-b434-4e65abdfd8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a5d550a-9072-42dd-8aaf-b8f4832ef24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8a5d550a-9072-42dd-8aaf-b8f4832ef24b">
      <UserInfo>
        <DisplayName>Alexander Chepigin</DisplayName>
        <AccountId>12</AccountId>
        <AccountType/>
      </UserInfo>
      <UserInfo>
        <DisplayName>María Victoria Hoyos</DisplayName>
        <AccountId>18</AccountId>
        <AccountType/>
      </UserInfo>
      <UserInfo>
        <DisplayName>Zeynep Salman</DisplayName>
        <AccountId>16</AccountId>
        <AccountType/>
      </UserInfo>
    </SharedWithUsers>
  </documentManagement>
</p:properties>
</file>

<file path=customXml/itemProps1.xml><?xml version="1.0" encoding="utf-8"?>
<ds:datastoreItem xmlns:ds="http://schemas.openxmlformats.org/officeDocument/2006/customXml" ds:itemID="{53E3630A-D29B-4FDF-9247-99EE49DFC0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4bdced2-73d2-4e64-b434-4e65abdfd84e"/>
    <ds:schemaRef ds:uri="8a5d550a-9072-42dd-8aaf-b8f4832ef24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8C6C9E6-1451-4535-92E8-F6885677D74F}">
  <ds:schemaRefs>
    <ds:schemaRef ds:uri="http://schemas.microsoft.com/sharepoint/v3/contenttype/forms"/>
  </ds:schemaRefs>
</ds:datastoreItem>
</file>

<file path=customXml/itemProps3.xml><?xml version="1.0" encoding="utf-8"?>
<ds:datastoreItem xmlns:ds="http://schemas.openxmlformats.org/officeDocument/2006/customXml" ds:itemID="{E7A36896-484E-468C-9DA1-9532C46A1A8A}">
  <ds:schemaRefs>
    <ds:schemaRef ds:uri="http://schemas.microsoft.com/office/2006/metadata/properties"/>
    <ds:schemaRef ds:uri="http://schemas.microsoft.com/office/infopath/2007/PartnerControls"/>
    <ds:schemaRef ds:uri="8a5d550a-9072-42dd-8aaf-b8f4832ef24b"/>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Introduction</vt:lpstr>
      <vt:lpstr>Product Strategy</vt:lpstr>
      <vt:lpstr>Call Flows</vt:lpstr>
      <vt:lpstr>Tables</vt:lpstr>
      <vt:lpstr>Scorecards</vt:lpstr>
      <vt:lpstr>Scores</vt:lpstr>
      <vt:lpstr>Rules</vt:lpstr>
      <vt:lpstr>Sheet1</vt:lpstr>
      <vt:lpstr>Data Dictionary_All</vt:lpstr>
      <vt:lpstr>Data Dictionary Used</vt:lpstr>
      <vt:lpstr>Parameters</vt:lpstr>
      <vt:lpstr>synthetic.py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Sandra Sorza Hernandez</dc:creator>
  <cp:keywords/>
  <dc:description/>
  <cp:lastModifiedBy>Alan Kang</cp:lastModifiedBy>
  <cp:revision/>
  <dcterms:created xsi:type="dcterms:W3CDTF">2023-01-18T13:16:53Z</dcterms:created>
  <dcterms:modified xsi:type="dcterms:W3CDTF">2025-08-14T03:22:45Z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0x010100F4B8AB60C9344F4A9C71626C5D838B2F</vt:lpwstr>
  </property>
</Properties>
</file>